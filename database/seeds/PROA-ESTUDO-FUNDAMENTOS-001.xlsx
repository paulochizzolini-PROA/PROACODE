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ntrole" sheetId="1" state="visible" r:id="rId1"/>
    <sheet name="Roteiro_Estudo" sheetId="2" state="visible" r:id="rId2"/>
    <sheet name="Analogia_Estado" sheetId="3" state="visible" r:id="rId3"/>
    <sheet name="Base_Legal" sheetId="4" state="visible" r:id="rId4"/>
    <sheet name="Onde_Estado_nao_chega" sheetId="5" state="visible" r:id="rId5"/>
    <sheet name="Glossario" sheetId="6" state="visible" r:id="rId6"/>
    <sheet name="Guia_Estud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0D2240"/>
      <sz val="11"/>
    </font>
  </fonts>
  <fills count="4">
    <fill>
      <patternFill/>
    </fill>
    <fill>
      <patternFill patternType="gray125"/>
    </fill>
    <fill>
      <patternFill patternType="solid">
        <fgColor rgb="000D2240"/>
      </patternFill>
    </fill>
    <fill>
      <patternFill patternType="solid">
        <fgColor rgb="00D4AF3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3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30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Código</t>
        </is>
      </c>
      <c r="B2" s="3" t="inlineStr">
        <is>
          <t>PROA-ESTUDO-FUNDAMENTOS-001</t>
        </is>
      </c>
    </row>
    <row r="3">
      <c r="A3" s="2" t="inlineStr">
        <is>
          <t>Título</t>
        </is>
      </c>
      <c r="B3" s="3" t="inlineStr">
        <is>
          <t>FUNDAMENTOS DE ASSOCIAÇÕES, CONDOMÍNIOS E LOTEAMENTOS — MATERIAL DE ESTUDO E INICIAÇÃO</t>
        </is>
      </c>
    </row>
    <row r="4">
      <c r="A4" s="2" t="inlineStr">
        <is>
          <t>Data</t>
        </is>
      </c>
      <c r="B4" s="3" t="inlineStr">
        <is>
          <t>13/10/2026</t>
        </is>
      </c>
    </row>
    <row r="5">
      <c r="A5" s="2" t="inlineStr">
        <is>
          <t>Classificação</t>
        </is>
      </c>
      <c r="B5" s="3" t="inlineStr">
        <is>
          <t>DOCUMENTO DE GOVERNANÇA — MATERIAL INSTITUCIONAL/EDUCATIVO</t>
        </is>
      </c>
    </row>
    <row r="6">
      <c r="A6" s="2" t="inlineStr">
        <is>
          <t>Fonte</t>
        </is>
      </c>
      <c r="B6" s="3" t="inlineStr">
        <is>
          <t>PROA-APRESENTACAO-FUNDAMENTOS-001 (apresentação de 12 slides e documento Word correspondente)</t>
        </is>
      </c>
    </row>
    <row r="7">
      <c r="A7" s="2" t="inlineStr">
        <is>
          <t>Propósito</t>
        </is>
      </c>
      <c r="B7" s="3" t="inlineStr">
        <is>
          <t>apoiar estudo e iniciação de dirigentes, conselheiros, associados e moradores sobre por que existem e como funcionam essas entidades, com a analogia dos poderes de Estado</t>
        </is>
      </c>
    </row>
    <row r="8">
      <c r="A8" s="2" t="inlineStr">
        <is>
          <t>Regime coberto</t>
        </is>
      </c>
      <c r="B8" s="3" t="inlineStr">
        <is>
          <t>condomínio edilício, associação de moradores e loteamento</t>
        </is>
      </c>
    </row>
    <row r="9">
      <c r="A9" s="2" t="inlineStr">
        <is>
          <t>Identidade</t>
        </is>
      </c>
      <c r="B9" s="3" t="inlineStr">
        <is>
          <t>azul-marinho #0D2240 + dourado #D4AF37</t>
        </is>
      </c>
    </row>
    <row r="11">
      <c r="A11" s="4" t="inlineStr">
        <is>
          <t>Validação — contagem de linhas de dados por aba (fórmulas ao vivo)</t>
        </is>
      </c>
      <c r="B11" s="5" t="n"/>
    </row>
    <row r="12">
      <c r="A12" s="6" t="inlineStr">
        <is>
          <t>aba</t>
        </is>
      </c>
      <c r="B12" s="6" t="inlineStr">
        <is>
          <t>esperado</t>
        </is>
      </c>
      <c r="C12" s="6" t="inlineStr">
        <is>
          <t>contagem</t>
        </is>
      </c>
      <c r="D12" s="6" t="inlineStr">
        <is>
          <t>status</t>
        </is>
      </c>
    </row>
    <row r="13">
      <c r="A13" s="3" t="inlineStr">
        <is>
          <t>Roteiro_Estudo</t>
        </is>
      </c>
      <c r="B13" s="7" t="n">
        <v>12</v>
      </c>
      <c r="C13" s="7">
        <f>COUNTA(Roteiro_Estudo!$A$2:$A$13)</f>
        <v/>
      </c>
      <c r="D13" s="7">
        <f>IF(C13=B13,"OK","DIVERGENTE")</f>
        <v/>
      </c>
    </row>
    <row r="14">
      <c r="A14" s="3" t="inlineStr">
        <is>
          <t>Analogia_Estado</t>
        </is>
      </c>
      <c r="B14" s="7" t="n">
        <v>7</v>
      </c>
      <c r="C14" s="7">
        <f>COUNTA(Analogia_Estado!$A$2:$A$8)</f>
        <v/>
      </c>
      <c r="D14" s="7">
        <f>IF(C14=B14,"OK","DIVERGENTE")</f>
        <v/>
      </c>
    </row>
    <row r="15">
      <c r="A15" s="3" t="inlineStr">
        <is>
          <t>Base_Legal</t>
        </is>
      </c>
      <c r="B15" s="7" t="n">
        <v>6</v>
      </c>
      <c r="C15" s="7">
        <f>COUNTA(Base_Legal!$A$2:$A$7)</f>
        <v/>
      </c>
      <c r="D15" s="7">
        <f>IF(C15=B15,"OK","DIVERGENTE")</f>
        <v/>
      </c>
    </row>
    <row r="16">
      <c r="A16" s="3" t="inlineStr">
        <is>
          <t>Onde_Estado_nao_chega</t>
        </is>
      </c>
      <c r="B16" s="7" t="n">
        <v>5</v>
      </c>
      <c r="C16" s="7">
        <f>COUNTA(Onde_Estado_nao_chega!$A$2:$A$6)</f>
        <v/>
      </c>
      <c r="D16" s="7">
        <f>IF(C16=B16,"OK","DIVERGENTE")</f>
        <v/>
      </c>
    </row>
    <row r="17">
      <c r="A17" s="3" t="inlineStr">
        <is>
          <t>Glossario</t>
        </is>
      </c>
      <c r="B17" s="7" t="n">
        <v>11</v>
      </c>
      <c r="C17" s="7">
        <f>COUNTA(Glossario!$A$2:$A$12)</f>
        <v/>
      </c>
      <c r="D17" s="7">
        <f>IF(C17=B17,"OK","DIVERGENTE")</f>
        <v/>
      </c>
    </row>
    <row r="18">
      <c r="A18" s="3" t="inlineStr">
        <is>
          <t>Guia_Estudo</t>
        </is>
      </c>
      <c r="B18" s="7" t="n">
        <v>8</v>
      </c>
      <c r="C18" s="7">
        <f>COUNTA(Guia_Estudo!$A$2:$A$9)</f>
        <v/>
      </c>
      <c r="D18" s="7">
        <f>IF(C18=B18,"OK","DIVERGENTE")</f>
        <v/>
      </c>
    </row>
    <row r="19">
      <c r="A19" s="2" t="inlineStr">
        <is>
          <t>TOTAL de linhas de dados</t>
        </is>
      </c>
      <c r="B19" s="8">
        <f>SUM(B13:B18)</f>
        <v/>
      </c>
      <c r="C19" s="8">
        <f>SUM(C13:C18)</f>
        <v/>
      </c>
      <c r="D19" s="8">
        <f>IF(COUNTIF(D13:D18,"DIVERGENTE")=0,"TODAS OK","REVISAR")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60" customWidth="1" min="3" max="3"/>
    <col width="28" customWidth="1" min="4" max="4"/>
  </cols>
  <sheetData>
    <row r="1" ht="45" customHeight="1">
      <c r="A1" s="1" t="inlineStr">
        <is>
          <t>item</t>
        </is>
      </c>
      <c r="B1" s="1" t="inlineStr">
        <is>
          <t>tema</t>
        </is>
      </c>
      <c r="C1" s="1" t="inlineStr">
        <is>
          <t>conteudo_resumido</t>
        </is>
      </c>
      <c r="D1" s="1" t="inlineStr">
        <is>
          <t>analogia_estado</t>
        </is>
      </c>
    </row>
    <row r="2">
      <c r="A2" s="3" t="n">
        <v>1</v>
      </c>
      <c r="B2" s="3" t="inlineStr">
        <is>
          <t>A origem da necessidade</t>
        </is>
      </c>
      <c r="C2" s="3" t="inlineStr">
        <is>
          <t>Bens compartilhados, interesses comuns e convivência geram a necessidade de regras e decisões coletivas; onde há problemas comuns, as pessoas se organizam</t>
        </is>
      </c>
      <c r="D2" s="3" t="inlineStr">
        <is>
          <t>—</t>
        </is>
      </c>
    </row>
    <row r="3">
      <c r="A3" s="3" t="n">
        <v>2</v>
      </c>
      <c r="B3" s="3" t="inlineStr">
        <is>
          <t>História das associações</t>
        </is>
      </c>
      <c r="C3" s="3" t="inlineStr">
        <is>
          <t>Liberdade de associação (CF/88 art. 5º XVII-XXI); Código Civil arts. 53-61; criação por estatuto, fins não econômicos; assembleia soberana; crescimento com a urbanização e os loteamentos</t>
        </is>
      </c>
      <c r="D3" s="3" t="inlineStr">
        <is>
          <t>—</t>
        </is>
      </c>
    </row>
    <row r="4">
      <c r="A4" s="3" t="n">
        <v>3</v>
      </c>
      <c r="B4" s="3" t="inlineStr">
        <is>
          <t>História dos condomínios</t>
        </is>
      </c>
      <c r="C4" s="3" t="inlineStr">
        <is>
          <t>Raiz no direito romano; condomínio edilício: unidades autônomas + áreas comuns; Lei 4.591/64; Código Civil 2002 arts. 1.331-1.358; cota propter rem</t>
        </is>
      </c>
      <c r="D4" s="3" t="inlineStr">
        <is>
          <t>—</t>
        </is>
      </c>
    </row>
    <row r="5">
      <c r="A5" s="3" t="n">
        <v>4</v>
      </c>
      <c r="B5" s="3" t="inlineStr">
        <is>
          <t>Loteamentos e associação</t>
        </is>
      </c>
      <c r="C5" s="3" t="inlineStr">
        <is>
          <t>Lei 6.766/79 (parcelamento do solo); loteamentos fechados e condomínios de lotes; associação assume gestão local quando o poder público não assume</t>
        </is>
      </c>
      <c r="D5" s="3" t="inlineStr">
        <is>
          <t>—</t>
        </is>
      </c>
    </row>
    <row r="6">
      <c r="A6" s="3" t="n">
        <v>5</v>
      </c>
      <c r="B6" s="3" t="inlineStr">
        <is>
          <t>Onde o Estado não chega</t>
        </is>
      </c>
      <c r="C6" s="3" t="inlineStr">
        <is>
          <t>Limites estruturais: capilaridade, agilidade e especificidade; é nesse espaço que a organização local age</t>
        </is>
      </c>
      <c r="D6" s="3" t="inlineStr">
        <is>
          <t>Macro não cobre o micro</t>
        </is>
      </c>
    </row>
    <row r="7">
      <c r="A7" s="3" t="n">
        <v>6</v>
      </c>
      <c r="B7" s="3" t="inlineStr">
        <is>
          <t>A federação em miniatura</t>
        </is>
      </c>
      <c r="C7" s="3" t="inlineStr">
        <is>
          <t>Esfera macro (União/Estado/Município) × esfera micro (condomínio/associação); convenção/estatuto como "constituição local"; subsidiariedade</t>
        </is>
      </c>
      <c r="D7" s="3" t="inlineStr">
        <is>
          <t>Substitui o "pacto federativo" em escala local</t>
        </is>
      </c>
    </row>
    <row r="8">
      <c r="A8" s="3" t="n">
        <v>7</v>
      </c>
      <c r="B8" s="3" t="inlineStr">
        <is>
          <t>Legislativo local</t>
        </is>
      </c>
      <c r="C8" s="3" t="inlineStr">
        <is>
          <t>Assembleia geral como órgão soberano: delibera, cria regras internas, aprova orçamento, aprecia prestações de contas</t>
        </is>
      </c>
      <c r="D8" s="3" t="inlineStr">
        <is>
          <t>Poder Legislativo</t>
        </is>
      </c>
    </row>
    <row r="9">
      <c r="A9" s="3" t="n">
        <v>8</v>
      </c>
      <c r="B9" s="3" t="inlineStr">
        <is>
          <t>Executivo local</t>
        </is>
      </c>
      <c r="C9" s="3" t="inlineStr">
        <is>
          <t>Dirigente (síndico/presidente) e diretoria: executam deliberações, administram recursos, representam a entidade; mandato temporário e prestação de contas</t>
        </is>
      </c>
      <c r="D9" s="3" t="inlineStr">
        <is>
          <t>Poder Executivo</t>
        </is>
      </c>
    </row>
    <row r="10">
      <c r="A10" s="3" t="n">
        <v>9</v>
      </c>
      <c r="B10" s="3" t="inlineStr">
        <is>
          <t>Controle local</t>
        </is>
      </c>
      <c r="C10" s="3" t="inlineStr">
        <is>
          <t>Conselho consultivo/fiscal acompanha a gestão; mediação e ritos internos previnem e resolvem conflitos; justiça de vizinhança (não substitui o Judiciário)</t>
        </is>
      </c>
      <c r="D10" s="3" t="inlineStr">
        <is>
          <t>Controle/justiça de proximidade</t>
        </is>
      </c>
    </row>
    <row r="11">
      <c r="A11" s="3" t="n">
        <v>10</v>
      </c>
      <c r="B11" s="3" t="inlineStr">
        <is>
          <t>Estado como moldura</t>
        </is>
      </c>
      <c r="C11" s="3" t="inlineStr">
        <is>
          <t>Autonomia local com limites legais: convenção e estatuto não contrariam a legislação; competências exclusivas permanecem com o Estado</t>
        </is>
      </c>
      <c r="D11" s="3" t="inlineStr">
        <is>
          <t>Federação (regras nacionais)</t>
        </is>
      </c>
    </row>
    <row r="12">
      <c r="A12" s="3" t="n">
        <v>11</v>
      </c>
      <c r="B12" s="3" t="inlineStr">
        <is>
          <t>Da casa ao município</t>
        </is>
      </c>
      <c r="C12" s="3" t="inlineStr">
        <is>
          <t>Capilaridade, agilidade, especificidade, complementaridade e pertencimento; escolas de cidadania</t>
        </is>
      </c>
      <c r="D12" s="3" t="inlineStr">
        <is>
          <t>—</t>
        </is>
      </c>
    </row>
    <row r="13">
      <c r="A13" s="3" t="n">
        <v>12</v>
      </c>
      <c r="B13" s="3" t="inlineStr">
        <is>
          <t>Chamada PROA</t>
        </is>
      </c>
      <c r="C13" s="3" t="inlineStr">
        <is>
          <t>Organizar · Preservar · Evoluir</t>
        </is>
      </c>
      <c r="D13" s="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</cols>
  <sheetData>
    <row r="1" ht="32" customHeight="1">
      <c r="A1" s="1" t="inlineStr">
        <is>
          <t>esfera_macro</t>
        </is>
      </c>
      <c r="B1" s="1" t="inlineStr">
        <is>
          <t>esfera_micro</t>
        </is>
      </c>
      <c r="C1" s="1" t="inlineStr">
        <is>
          <t>funcao_comum</t>
        </is>
      </c>
    </row>
    <row r="2">
      <c r="A2" s="3" t="inlineStr">
        <is>
          <t>União / Estado / Município</t>
        </is>
      </c>
      <c r="B2" s="3" t="inlineStr">
        <is>
          <t>Condomínio / Associação</t>
        </is>
      </c>
      <c r="C2" s="3" t="inlineStr">
        <is>
          <t>Governança e decisão coletiva em escala adequada</t>
        </is>
      </c>
    </row>
    <row r="3">
      <c r="A3" s="3" t="inlineStr">
        <is>
          <t>Constituição Federal</t>
        </is>
      </c>
      <c r="B3" s="3" t="inlineStr">
        <is>
          <t>Convenção / Estatuto</t>
        </is>
      </c>
      <c r="C3" s="3" t="inlineStr">
        <is>
          <t>Regra fundamental da comunidade ("constituição local")</t>
        </is>
      </c>
    </row>
    <row r="4">
      <c r="A4" s="3" t="inlineStr">
        <is>
          <t>Poder Legislativo (Câmaras)</t>
        </is>
      </c>
      <c r="B4" s="3" t="inlineStr">
        <is>
          <t>Assembleia Geral</t>
        </is>
      </c>
      <c r="C4" s="3" t="inlineStr">
        <is>
          <t>Criar regras, aprovar orçamento, apreciar contas</t>
        </is>
      </c>
    </row>
    <row r="5">
      <c r="A5" s="3" t="inlineStr">
        <is>
          <t>Poder Executivo (Governo)</t>
        </is>
      </c>
      <c r="B5" s="3" t="inlineStr">
        <is>
          <t>Dirigente + Diretoria</t>
        </is>
      </c>
      <c r="C5" s="3" t="inlineStr">
        <is>
          <t>Executar decisões, administrar recursos, representar</t>
        </is>
      </c>
    </row>
    <row r="6">
      <c r="A6" s="3" t="inlineStr">
        <is>
          <t>Poder Judiciário</t>
        </is>
      </c>
      <c r="B6" s="3" t="inlineStr">
        <is>
          <t>Conselhos, mediação e ritos internos</t>
        </is>
      </c>
      <c r="C6" s="3" t="inlineStr">
        <is>
          <t>Resolver conflitos de forma próxima (sem substituir o Judiciário)</t>
        </is>
      </c>
    </row>
    <row r="7">
      <c r="A7" s="3" t="inlineStr">
        <is>
          <t>Leis e regulamentos</t>
        </is>
      </c>
      <c r="B7" s="3" t="inlineStr">
        <is>
          <t>Normas internas da entidade</t>
        </is>
      </c>
      <c r="C7" s="3" t="inlineStr">
        <is>
          <t>Organizar a vida comum dentro dos limites legais</t>
        </is>
      </c>
    </row>
    <row r="8">
      <c r="A8" s="3" t="inlineStr">
        <is>
          <t>Competências exclusivas do Estado</t>
        </is>
      </c>
      <c r="B8" s="3" t="inlineStr">
        <is>
          <t>Não substituíveis</t>
        </is>
      </c>
      <c r="C8" s="3" t="inlineStr">
        <is>
          <t>Poder de polícia, saúde pública e educação permanecem com o Estado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42" customWidth="1" min="4" max="4"/>
  </cols>
  <sheetData>
    <row r="1" ht="32" customHeight="1">
      <c r="A1" s="1" t="inlineStr">
        <is>
          <t>norma</t>
        </is>
      </c>
      <c r="B1" s="1" t="inlineStr">
        <is>
          <t>artigo_secao</t>
        </is>
      </c>
      <c r="C1" s="1" t="inlineStr">
        <is>
          <t>rege</t>
        </is>
      </c>
      <c r="D1" s="1" t="inlineStr">
        <is>
          <t>aplicacao_no_contexto</t>
        </is>
      </c>
    </row>
    <row r="2">
      <c r="A2" s="3" t="inlineStr">
        <is>
          <t>Constituição Federal/1988</t>
        </is>
      </c>
      <c r="B2" s="3" t="inlineStr">
        <is>
          <t>Art. 5º, XVII a XXI</t>
        </is>
      </c>
      <c r="C2" s="3" t="inlineStr">
        <is>
          <t>Liberdade de associação</t>
        </is>
      </c>
      <c r="D2" s="3" t="inlineStr">
        <is>
          <t>Fundamento da existência das associações</t>
        </is>
      </c>
    </row>
    <row r="3">
      <c r="A3" s="3" t="inlineStr">
        <is>
          <t>Código Civil/2002</t>
        </is>
      </c>
      <c r="B3" s="3" t="inlineStr">
        <is>
          <t>Arts. 53 a 61</t>
        </is>
      </c>
      <c r="C3" s="3" t="inlineStr">
        <is>
          <t>Associações</t>
        </is>
      </c>
      <c r="D3" s="3" t="inlineStr">
        <is>
          <t>Criação por estatuto, fins não econômicos, assembleia soberana</t>
        </is>
      </c>
    </row>
    <row r="4">
      <c r="A4" s="3" t="inlineStr">
        <is>
          <t>Código Civil/2002</t>
        </is>
      </c>
      <c r="B4" s="3" t="inlineStr">
        <is>
          <t>Arts. 1.331 a 1.358</t>
        </is>
      </c>
      <c r="C4" s="3" t="inlineStr">
        <is>
          <t>Condomínio edilício</t>
        </is>
      </c>
      <c r="D4" s="3" t="inlineStr">
        <is>
          <t>Convenção, assembleia, cota propter rem, deveres dos condôminos</t>
        </is>
      </c>
    </row>
    <row r="5">
      <c r="A5" s="3" t="inlineStr">
        <is>
          <t>Lei 4.591/64</t>
        </is>
      </c>
      <c r="B5" s="3" t="inlineStr">
        <is>
          <t>Integral</t>
        </is>
      </c>
      <c r="C5" s="3" t="inlineStr">
        <is>
          <t>Condomínio em edificações</t>
        </is>
      </c>
      <c r="D5" s="3" t="inlineStr">
        <is>
          <t>Disciplina o condomínio em edificações e incorporações</t>
        </is>
      </c>
    </row>
    <row r="6">
      <c r="A6" s="3" t="inlineStr">
        <is>
          <t>Lei 6.766/79</t>
        </is>
      </c>
      <c r="B6" s="3" t="inlineStr">
        <is>
          <t>Integral</t>
        </is>
      </c>
      <c r="C6" s="3" t="inlineStr">
        <is>
          <t>Parcelamento do solo urbano</t>
        </is>
      </c>
      <c r="D6" s="3" t="inlineStr">
        <is>
          <t>Loteamentos, loteamentos fechados e condomínios de lotes</t>
        </is>
      </c>
    </row>
    <row r="7">
      <c r="A7" s="3" t="inlineStr">
        <is>
          <t>Lei 13.709/2018 (LGPD)</t>
        </is>
      </c>
      <c r="B7" s="3" t="inlineStr">
        <is>
          <t>Transversal</t>
        </is>
      </c>
      <c r="C7" s="3" t="inlineStr">
        <is>
          <t>Proteção de dados pessoais</t>
        </is>
      </c>
      <c r="D7" s="3" t="inlineStr">
        <is>
          <t>Governança de dados das entidades (transversal)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 ht="32" customHeight="1">
      <c r="A1" s="1" t="inlineStr">
        <is>
          <t>limitacao</t>
        </is>
      </c>
      <c r="B1" s="1" t="inlineStr">
        <is>
          <t>exemplo</t>
        </is>
      </c>
      <c r="C1" s="1" t="inlineStr">
        <is>
          <t>providencia_local</t>
        </is>
      </c>
    </row>
    <row r="2">
      <c r="A2" s="3" t="inlineStr">
        <is>
          <t>Capilaridade</t>
        </is>
      </c>
      <c r="B2" s="3" t="inlineStr">
        <is>
          <t>Poder público não acompanha cada necessidade de cada rua</t>
        </is>
      </c>
      <c r="C2" s="3" t="inlineStr">
        <is>
          <t>Associação/condomínio conhece cada unidade e age próximo</t>
        </is>
      </c>
    </row>
    <row r="3">
      <c r="A3" s="3" t="inlineStr">
        <is>
          <t>Agilidade</t>
        </is>
      </c>
      <c r="B3" s="3" t="inlineStr">
        <is>
          <t>Algumas providências exigem resposta imediata</t>
        </is>
      </c>
      <c r="C3" s="3" t="inlineStr">
        <is>
          <t>Decisão local em dias, não em anos</t>
        </is>
      </c>
    </row>
    <row r="4">
      <c r="A4" s="3" t="inlineStr">
        <is>
          <t>Especificidade</t>
        </is>
      </c>
      <c r="B4" s="3" t="inlineStr">
        <is>
          <t>Lei municipal não resolve a manutenção do portão da rua</t>
        </is>
      </c>
      <c r="C4" s="3" t="inlineStr">
        <is>
          <t>Solução sob medida para o contexto local</t>
        </is>
      </c>
    </row>
    <row r="5">
      <c r="A5" s="3" t="inlineStr">
        <is>
          <t>Complementaridade</t>
        </is>
      </c>
      <c r="B5" s="3" t="inlineStr">
        <is>
          <t>Serviços locais não assumidos pelo poder público</t>
        </is>
      </c>
      <c r="C5" s="3" t="inlineStr">
        <is>
          <t>Manutenção, segurança, zeladoria e convivência</t>
        </is>
      </c>
    </row>
    <row r="6">
      <c r="A6" s="3" t="inlineStr">
        <is>
          <t>Pertencimento</t>
        </is>
      </c>
      <c r="B6" s="3" t="inlineStr">
        <is>
          <t>Participação e cidadania ativa</t>
        </is>
      </c>
      <c r="C6" s="3" t="inlineStr">
        <is>
          <t>Envolvimento dos moradores na gestão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2" customHeight="1">
      <c r="A1" s="1" t="inlineStr">
        <is>
          <t>termo</t>
        </is>
      </c>
      <c r="B1" s="1" t="inlineStr">
        <is>
          <t>definicao</t>
        </is>
      </c>
    </row>
    <row r="2">
      <c r="A2" s="3" t="inlineStr">
        <is>
          <t>Dirigente</t>
        </is>
      </c>
      <c r="B2" s="3" t="inlineStr">
        <is>
          <t>Termo oficial PROA para o síndico (condomínio) e o presidente (associação)</t>
        </is>
      </c>
    </row>
    <row r="3">
      <c r="A3" s="3" t="inlineStr">
        <is>
          <t>Assembleia Geral</t>
        </is>
      </c>
      <c r="B3" s="3" t="inlineStr">
        <is>
          <t>Órgão soberano da entidade; delibera, aprova orçamento e aprecia contas</t>
        </is>
      </c>
    </row>
    <row r="4">
      <c r="A4" s="3" t="inlineStr">
        <is>
          <t>Convenção</t>
        </is>
      </c>
      <c r="B4" s="3" t="inlineStr">
        <is>
          <t>Regra fundamental do condomínio edilício (CC arts. 1.331-1.358)</t>
        </is>
      </c>
    </row>
    <row r="5">
      <c r="A5" s="3" t="inlineStr">
        <is>
          <t>Estatuto</t>
        </is>
      </c>
      <c r="B5" s="3" t="inlineStr">
        <is>
          <t>Regra fundamental da associação (CC arts. 53-61)</t>
        </is>
      </c>
    </row>
    <row r="6">
      <c r="A6" s="3" t="inlineStr">
        <is>
          <t>Cota propter rem</t>
        </is>
      </c>
      <c r="B6" s="3" t="inlineStr">
        <is>
          <t>Obrigação condominial vinculada à unidade, acompanha a propriedade</t>
        </is>
      </c>
    </row>
    <row r="7">
      <c r="A7" s="3" t="inlineStr">
        <is>
          <t>Loteamento</t>
        </is>
      </c>
      <c r="B7" s="3" t="inlineStr">
        <is>
          <t>Parcelamento do solo urbano em lotes (Lei 6.766/79)</t>
        </is>
      </c>
    </row>
    <row r="8">
      <c r="A8" s="3" t="inlineStr">
        <is>
          <t>Condomínio de lotes</t>
        </is>
      </c>
      <c r="B8" s="3" t="inlineStr">
        <is>
          <t>Modalidade em que os lotes têm áreas comuns de uso coletivo</t>
        </is>
      </c>
    </row>
    <row r="9">
      <c r="A9" s="3" t="inlineStr">
        <is>
          <t>Subsidiariedade</t>
        </is>
      </c>
      <c r="B9" s="3" t="inlineStr">
        <is>
          <t>Princípio: o que a comunidade local resolve não sobe à esfera maior</t>
        </is>
      </c>
    </row>
    <row r="10">
      <c r="A10" s="3" t="inlineStr">
        <is>
          <t>Prestação de contas</t>
        </is>
      </c>
      <c r="B10" s="3" t="inlineStr">
        <is>
          <t>Dever periódico do dirigente perante a assembleia</t>
        </is>
      </c>
    </row>
    <row r="11">
      <c r="A11" s="3" t="inlineStr">
        <is>
          <t>Conselho fiscal/consultivo</t>
        </is>
      </c>
      <c r="B11" s="3" t="inlineStr">
        <is>
          <t>Órgão de acompanhamento da gestão</t>
        </is>
      </c>
    </row>
    <row r="12">
      <c r="A12" s="3" t="inlineStr">
        <is>
          <t>Poder de polícia</t>
        </is>
      </c>
      <c r="B12" s="3" t="inlineStr">
        <is>
          <t>Competência exclusiva do Estado que não se transfere à entidade local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</cols>
  <sheetData>
    <row r="1" ht="32" customHeight="1">
      <c r="A1" s="1" t="inlineStr">
        <is>
          <t>pergunta</t>
        </is>
      </c>
      <c r="B1" s="1" t="inlineStr">
        <is>
          <t>resposta_curta</t>
        </is>
      </c>
    </row>
    <row r="2">
      <c r="A2" s="3" t="inlineStr">
        <is>
          <t>Por que existem associações e condomínios?</t>
        </is>
      </c>
      <c r="B2" s="3" t="inlineStr">
        <is>
          <t>Para organizar bens, interesses e convivência comuns; dar providências onde o Estado não chega</t>
        </is>
      </c>
    </row>
    <row r="3">
      <c r="A3" s="3" t="inlineStr">
        <is>
          <t>Qual o fundamento das associações?</t>
        </is>
      </c>
      <c r="B3" s="3" t="inlineStr">
        <is>
          <t>CF/88 art. 5º XVII-XXI e Código Civil arts. 53-61</t>
        </is>
      </c>
    </row>
    <row r="4">
      <c r="A4" s="3" t="inlineStr">
        <is>
          <t>Qual o fundamento dos condomínios?</t>
        </is>
      </c>
      <c r="B4" s="3" t="inlineStr">
        <is>
          <t>Lei 4.591/64 e Código Civil arts. 1.331-1.358</t>
        </is>
      </c>
    </row>
    <row r="5">
      <c r="A5" s="3" t="inlineStr">
        <is>
          <t>O que é cota propter rem?</t>
        </is>
      </c>
      <c r="B5" s="3" t="inlineStr">
        <is>
          <t>Obrigação condominial que acompanha a unidade</t>
        </is>
      </c>
    </row>
    <row r="6">
      <c r="A6" s="3" t="inlineStr">
        <is>
          <t>Qual o papel da assembleia?</t>
        </is>
      </c>
      <c r="B6" s="3" t="inlineStr">
        <is>
          <t>Órgão soberano: delibera, aprova orçamento e contas (análogo ao Legislativo)</t>
        </is>
      </c>
    </row>
    <row r="7">
      <c r="A7" s="3" t="inlineStr">
        <is>
          <t>Qual o papel do dirigente?</t>
        </is>
      </c>
      <c r="B7" s="3" t="inlineStr">
        <is>
          <t>Executar deliberações, administrar e representar (análogo ao Executivo)</t>
        </is>
      </c>
    </row>
    <row r="8">
      <c r="A8" s="3" t="inlineStr">
        <is>
          <t>O que a entidade local não pode fazer?</t>
        </is>
      </c>
      <c r="B8" s="3" t="inlineStr">
        <is>
          <t>Não substitui competências exclusivas do Estado (poder de polícia, saúde pública, educação)</t>
        </is>
      </c>
    </row>
    <row r="9">
      <c r="A9" s="3" t="inlineStr">
        <is>
          <t>O que é a "constituição local"?</t>
        </is>
      </c>
      <c r="B9" s="3" t="inlineStr">
        <is>
          <t>A convenção (condomínio) ou o estatuto (associação) que organiza a vida comum dentro da lei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2026-10-14T01:57:00Z</dcterms:created>
  <dcterms:modified xsi:type="dcterms:W3CDTF">2026-10-14T01:58:09Z</dcterms:modified>
</cp:coreProperties>
</file>
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role" sheetId="1" state="visible" r:id="rId1"/>
    <sheet name="Acervo" sheetId="2" state="visible" r:id="rId2"/>
    <sheet name="Onda1_Seed" sheetId="3" state="visible" r:id="rId3"/>
    <sheet name="Onda2_Biblioteca" sheetId="4" state="visible" r:id="rId4"/>
    <sheet name="Onda3_Referencia" sheetId="5" state="visible" r:id="rId5"/>
    <sheet name="Onda4_Operacional" sheetId="6" state="visible" r:id="rId6"/>
    <sheet name="Resumo_O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8CA0B6"/>
      </left>
      <right style="thin">
        <color rgb="008CA0B6"/>
      </right>
      <top style="thin">
        <color rgb="008CA0B6"/>
      </top>
      <bottom style="thin">
        <color rgb="008CA0B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top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30" customHeight="1">
      <c r="A1" s="1" t="inlineStr">
        <is>
          <t>campo</t>
        </is>
      </c>
      <c r="B1" s="1" t="inlineStr">
        <is>
          <t>valor</t>
        </is>
      </c>
    </row>
    <row r="2" ht="18.8" customHeight="1">
      <c r="A2" s="2" t="inlineStr">
        <is>
          <t>Código</t>
        </is>
      </c>
      <c r="B2" s="2" t="inlineStr">
        <is>
          <t>PROA-INVENTARIO-CARGA-V2</t>
        </is>
      </c>
    </row>
    <row r="3" ht="18.8" customHeight="1">
      <c r="A3" s="2" t="inlineStr">
        <is>
          <t>Título</t>
        </is>
      </c>
      <c r="B3" s="2" t="inlineStr">
        <is>
          <t>INVENTÁRIO DE CARGA DO BANCO PROA V2.0 — ONDAS</t>
        </is>
      </c>
    </row>
    <row r="4" ht="18.8" customHeight="1">
      <c r="A4" s="2" t="inlineStr">
        <is>
          <t>Data</t>
        </is>
      </c>
      <c r="B4" s="2" t="inlineStr">
        <is>
          <t>14/10/2026</t>
        </is>
      </c>
    </row>
    <row r="5" ht="18.8" customHeight="1">
      <c r="A5" s="2" t="inlineStr">
        <is>
          <t>Classificação</t>
        </is>
      </c>
      <c r="B5" s="2" t="inlineStr">
        <is>
          <t>DOCUMENTO DE GOVERNANÇA — INSTRUMENTO DE TRABALHO</t>
        </is>
      </c>
    </row>
    <row r="6" ht="32.6" customHeight="1">
      <c r="A6" s="2" t="inlineStr">
        <is>
          <t>STATUS GERAL</t>
        </is>
      </c>
      <c r="B6" s="2" t="inlineStr">
        <is>
          <t>Onda 1 (Seed) FECHADA; Onda 2 (Biblioteca) FECHADA — 48/48 VALIDADO; Onda 3 (Referência) EM PLANEJAMENTO; Onda 4 (Operacional) EM PLANEJAMENTO</t>
        </is>
      </c>
    </row>
    <row r="7" ht="18.8" customHeight="1">
      <c r="A7" s="2" t="inlineStr">
        <is>
          <t>Princípio</t>
        </is>
      </c>
      <c r="B7" s="2" t="inlineStr">
        <is>
          <t>densidade ESTRUTURAL agora, CONTEÚDO só com fonte verificável (evitar dado morto)</t>
        </is>
      </c>
    </row>
    <row r="8" ht="32.6" customHeight="1">
      <c r="A8" s="2" t="inlineStr">
        <is>
          <t>Decisão de mutabilidade</t>
        </is>
      </c>
      <c r="B8" s="2" t="inlineStr">
        <is>
          <t>banco organiza a mudança com rastro (não apaga) — versionamento/vigência; time-series imutável; migração versionada; trilha (7 metadados) = "tudo muda com registro"</t>
        </is>
      </c>
    </row>
    <row r="9" ht="18.8" customHeight="1">
      <c r="A9" s="2" t="inlineStr">
        <is>
          <t>Filtro de densificação</t>
        </is>
      </c>
      <c r="B9" s="2" t="inlineStr">
        <is>
          <t>gera decisão? tem fonte? respeita calibração PILOTO-001?</t>
        </is>
      </c>
    </row>
    <row r="10" ht="18.8" customHeight="1">
      <c r="A10" s="2" t="inlineStr">
        <is>
          <t>Regras</t>
        </is>
      </c>
      <c r="B10" s="2" t="inlineStr">
        <is>
          <t>PROA nunca é obrigação legal automática; natureza obrigatório e indelével; revisão semestral de vigência das normas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  <col width="12" customWidth="1" min="3" max="3"/>
    <col width="13" customWidth="1" min="4" max="4"/>
    <col width="12" customWidth="1" min="5" max="5"/>
  </cols>
  <sheetData>
    <row r="1" ht="30" customHeight="1">
      <c r="A1" s="1" t="inlineStr">
        <is>
          <t>artefato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onda</t>
        </is>
      </c>
      <c r="E1" s="1" t="inlineStr">
        <is>
          <t>data</t>
        </is>
      </c>
    </row>
    <row r="2" ht="18.8" customHeight="1">
      <c r="A2" s="2" t="inlineStr">
        <is>
          <t>PROA-SEED-ITENS-V2.xlsx</t>
        </is>
      </c>
      <c r="B2" s="2" t="inlineStr">
        <is>
          <t>Planilha de carga dos 738 itens (18 abas + 00_Controle, cabeçalho navy congelado, fórmula viva)</t>
        </is>
      </c>
      <c r="C2" s="3" t="inlineStr">
        <is>
          <t>FECHADA</t>
        </is>
      </c>
      <c r="D2" s="3" t="inlineStr">
        <is>
          <t>Onda 1</t>
        </is>
      </c>
      <c r="E2" s="3" t="inlineStr">
        <is>
          <t>13/10/2026</t>
        </is>
      </c>
    </row>
    <row r="3" ht="18.8" customHeight="1">
      <c r="A3" s="2" t="inlineStr">
        <is>
          <t>PROA-SEED-BLOCOS.csv</t>
        </is>
      </c>
      <c r="B3" s="2" t="inlineStr">
        <is>
          <t>18 blocos (B01-B18) UTF-8 com BOM</t>
        </is>
      </c>
      <c r="C3" s="3" t="inlineStr">
        <is>
          <t>FECHADA</t>
        </is>
      </c>
      <c r="D3" s="3" t="inlineStr">
        <is>
          <t>Onda 1</t>
        </is>
      </c>
      <c r="E3" s="3" t="inlineStr">
        <is>
          <t>13/10/2026</t>
        </is>
      </c>
    </row>
    <row r="4" ht="18.8" customHeight="1">
      <c r="A4" s="2" t="inlineStr">
        <is>
          <t>PROA-SEED-VERSAO.csv</t>
        </is>
      </c>
      <c r="B4" s="2" t="inlineStr">
        <is>
          <t>base_versoes v1.0/rascunho UTF-8 com BOM</t>
        </is>
      </c>
      <c r="C4" s="3" t="inlineStr">
        <is>
          <t>FECHADA</t>
        </is>
      </c>
      <c r="D4" s="3" t="inlineStr">
        <is>
          <t>Onda 1</t>
        </is>
      </c>
      <c r="E4" s="3" t="inlineStr">
        <is>
          <t>13/10/2026</t>
        </is>
      </c>
    </row>
    <row r="5" ht="18.8" customHeight="1">
      <c r="A5" s="2" t="inlineStr">
        <is>
          <t>PROA-SEED-ITENS.csv</t>
        </is>
      </c>
      <c r="B5" s="2" t="inlineStr">
        <is>
          <t>738 itens (tipo=oficial, ativo=true, versao=v1.0, item_numero zero à esquerda) UTF-8 com BOM</t>
        </is>
      </c>
      <c r="C5" s="3" t="inlineStr">
        <is>
          <t>FECHADA</t>
        </is>
      </c>
      <c r="D5" s="3" t="inlineStr">
        <is>
          <t>Onda 1</t>
        </is>
      </c>
      <c r="E5" s="3" t="inlineStr">
        <is>
          <t>13/10/2026</t>
        </is>
      </c>
    </row>
    <row r="6" ht="32.6" customHeight="1">
      <c r="A6" s="2" t="inlineStr">
        <is>
          <t>Schema SQL (PROACODE/database)</t>
        </is>
      </c>
      <c r="B6" s="2" t="inlineStr">
        <is>
          <t>10 tabelas, 5 enums, colunas por_que_faz/o_que_faz/como_faz/criterios_analise/problemas_identificados/como_solucionar; 0 comandos em comentário</t>
        </is>
      </c>
      <c r="C6" s="3" t="inlineStr">
        <is>
          <t>FECHADA</t>
        </is>
      </c>
      <c r="D6" s="3" t="inlineStr">
        <is>
          <t>Onda 1</t>
        </is>
      </c>
      <c r="E6" s="3" t="inlineStr">
        <is>
          <t>13/10/2026</t>
        </is>
      </c>
    </row>
    <row r="7" ht="18.8" customHeight="1">
      <c r="A7" s="2" t="inlineStr">
        <is>
          <t>PROA-BIBLIOTECA-NORMATIVA-V2.xlsx</t>
        </is>
      </c>
      <c r="B7" s="2" t="inlineStr">
        <is>
          <t>Fonte de verdade da Biblioteca (48 normas, NB-001 a NB-048, 3 abas)</t>
        </is>
      </c>
      <c r="C7" s="3" t="inlineStr">
        <is>
          <t>FECHADA</t>
        </is>
      </c>
      <c r="D7" s="3" t="inlineStr">
        <is>
          <t>Onda 2</t>
        </is>
      </c>
      <c r="E7" s="3" t="inlineStr">
        <is>
          <t>14/10/2026</t>
        </is>
      </c>
    </row>
    <row r="8" ht="32.6" customHeight="1">
      <c r="A8" s="2" t="inlineStr">
        <is>
          <t>PROA-PREENCHIMENTO-BIBLIOTECA-V2.xlsx</t>
        </is>
      </c>
      <c r="B8" s="2" t="inlineStr">
        <is>
          <t>Preenchimento da Biblioteca: 48/48 VALIDADO (5 abas, 14 fórmulas vivas; campos artigo_secao, edicao_ano, data_consulta, responsavel_validacao, limite_aplicabilidade, nota_orientativa)</t>
        </is>
      </c>
      <c r="C8" s="3" t="inlineStr">
        <is>
          <t>FECHADA</t>
        </is>
      </c>
      <c r="D8" s="3" t="inlineStr">
        <is>
          <t>Onda 2</t>
        </is>
      </c>
      <c r="E8" s="3" t="inlineStr">
        <is>
          <t>14/10/2026</t>
        </is>
      </c>
    </row>
    <row r="9" ht="32.6" customHeight="1">
      <c r="A9" s="2" t="inlineStr">
        <is>
          <t>PROA-APRESENTACAO-FUNDAMENTOS-001 (12 slides) + .docx + PROA-ESTUDO-FUNDAMENTOS-001.xlsx</t>
        </is>
      </c>
      <c r="B9" s="2" t="inlineStr">
        <is>
          <t>Material institucional/educativo de fundamentos (versionado na main via PR feature/fundamentos-institucionais, commit 7b2aa15)</t>
        </is>
      </c>
      <c r="C9" s="3" t="inlineStr">
        <is>
          <t>FECHADA</t>
        </is>
      </c>
      <c r="D9" s="3" t="inlineStr">
        <is>
          <t>Transversal</t>
        </is>
      </c>
      <c r="E9" s="3" t="inlineStr">
        <is>
          <t>13/10/2026</t>
        </is>
      </c>
    </row>
    <row r="10" ht="18.8" customHeight="1">
      <c r="A10" s="2" t="inlineStr">
        <is>
          <t>PROA-REGRAS-V2-001</t>
        </is>
      </c>
      <c r="B10" s="2" t="inlineStr">
        <is>
          <t>Fonte canônica de regras do projeto (15 seções)</t>
        </is>
      </c>
      <c r="C10" s="3" t="inlineStr">
        <is>
          <t>FECHADA</t>
        </is>
      </c>
      <c r="D10" s="3" t="inlineStr">
        <is>
          <t>Transversal</t>
        </is>
      </c>
      <c r="E10" s="3" t="inlineStr">
        <is>
          <t>08/10/2026</t>
        </is>
      </c>
    </row>
    <row r="11" ht="18.8" customHeight="1">
      <c r="A11" s="2" t="inlineStr">
        <is>
          <t>PROA-SCHEMA-V2-001</t>
        </is>
      </c>
      <c r="B11" s="2" t="inlineStr">
        <is>
          <t>Schema da Biblioteca (15 campos/enum natureza; Item-Norma N:N; Vencimentos 90/60/30 VEN-xxx)</t>
        </is>
      </c>
      <c r="C11" s="3" t="inlineStr">
        <is>
          <t>FECHADA</t>
        </is>
      </c>
      <c r="D11" s="3" t="inlineStr">
        <is>
          <t>Referência</t>
        </is>
      </c>
      <c r="E11" s="3" t="inlineStr">
        <is>
          <t>08/10/2026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0" customWidth="1" min="3" max="3"/>
    <col width="14" customWidth="1" min="4" max="4"/>
    <col width="12" customWidth="1" min="5" max="5"/>
  </cols>
  <sheetData>
    <row r="1" ht="30" customHeight="1">
      <c r="A1" s="1" t="inlineStr">
        <is>
          <t>tabela</t>
        </is>
      </c>
      <c r="B1" s="1" t="inlineStr">
        <is>
          <t>descricao</t>
        </is>
      </c>
      <c r="C1" s="1" t="inlineStr">
        <is>
          <t>fonte</t>
        </is>
      </c>
      <c r="D1" s="1" t="inlineStr">
        <is>
          <t>qtd_esperada</t>
        </is>
      </c>
      <c r="E1" s="1" t="inlineStr">
        <is>
          <t>status</t>
        </is>
      </c>
    </row>
    <row r="2" ht="18.8" customHeight="1">
      <c r="A2" s="2" t="inlineStr">
        <is>
          <t>blocos</t>
        </is>
      </c>
      <c r="B2" s="2" t="inlineStr">
        <is>
          <t>Blocos B01-B18 do método PROA</t>
        </is>
      </c>
      <c r="C2" s="2" t="inlineStr">
        <is>
          <t>PROA-SEED-BLOCOS.csv</t>
        </is>
      </c>
      <c r="D2" s="3" t="n">
        <v>18</v>
      </c>
      <c r="E2" s="3" t="inlineStr">
        <is>
          <t>FECHADA</t>
        </is>
      </c>
    </row>
    <row r="3" ht="18.8" customHeight="1">
      <c r="A3" s="2" t="inlineStr">
        <is>
          <t>base_versoes</t>
        </is>
      </c>
      <c r="B3" s="2" t="inlineStr">
        <is>
          <t>Versão v1.0/rascunho da base</t>
        </is>
      </c>
      <c r="C3" s="2" t="inlineStr">
        <is>
          <t>PROA-SEED-VERSAO.csv</t>
        </is>
      </c>
      <c r="D3" s="3" t="n">
        <v>1</v>
      </c>
      <c r="E3" s="3" t="inlineStr">
        <is>
          <t>FECHADA</t>
        </is>
      </c>
    </row>
    <row r="4" ht="18.8" customHeight="1">
      <c r="A4" s="2" t="inlineStr">
        <is>
          <t>itens</t>
        </is>
      </c>
      <c r="B4" s="2" t="inlineStr">
        <is>
          <t>738 itens (41 por bloco × 18) com 6 campos de conteúdo</t>
        </is>
      </c>
      <c r="C4" s="2" t="inlineStr">
        <is>
          <t>PROA-SEED-ITENS.csv</t>
        </is>
      </c>
      <c r="D4" s="3" t="n">
        <v>738</v>
      </c>
      <c r="E4" s="3" t="inlineStr">
        <is>
          <t>FECHADA</t>
        </is>
      </c>
    </row>
    <row r="5" ht="8" customHeight="1"/>
    <row r="6" ht="46.40000000000001" customHeight="1">
      <c r="A6" s="4" t="inlineStr">
        <is>
          <t>Observação: PRs #1 e #2 mesclados na main (PROACODE). Protocolo de importação aprovado: CSV + staging + validação de contagens/referências + inserção blocos → base_versoes → itens (UUIDs por defaults; evitar SQL manual gigante). Banco (Supabase ou outra) ADIADO até a fase de importação.</t>
        </is>
      </c>
      <c r="B6" s="5" t="n"/>
      <c r="C6" s="5" t="n"/>
      <c r="D6" s="5" t="n"/>
      <c r="E6" s="5" t="n"/>
    </row>
    <row r="7" ht="8" customHeight="1"/>
    <row r="8" ht="22" customHeight="1">
      <c r="A8" s="1" t="inlineStr">
        <is>
          <t>Indicador</t>
        </is>
      </c>
      <c r="B8" s="1" t="inlineStr">
        <is>
          <t>Valor</t>
        </is>
      </c>
    </row>
    <row r="9" ht="18.8" customHeight="1">
      <c r="A9" s="2" t="inlineStr">
        <is>
          <t>Total de linhas</t>
        </is>
      </c>
      <c r="B9" s="3">
        <f>COUNTA(A2:A4)</f>
        <v/>
      </c>
    </row>
    <row r="10" ht="18.8" customHeight="1">
      <c r="A10" s="2" t="inlineStr">
        <is>
          <t>Blocos</t>
        </is>
      </c>
      <c r="B10" s="3">
        <f>D2</f>
        <v/>
      </c>
    </row>
    <row r="11" ht="18.8" customHeight="1">
      <c r="A11" s="2" t="inlineStr">
        <is>
          <t>Itens</t>
        </is>
      </c>
      <c r="B11" s="3">
        <f>D4</f>
        <v/>
      </c>
    </row>
    <row r="12" ht="18.8" customHeight="1">
      <c r="A12" s="2" t="inlineStr">
        <is>
          <t>Status FECHADA</t>
        </is>
      </c>
      <c r="B12" s="3">
        <f>COUNTIF(E2:E4,"FECHADA")</f>
        <v/>
      </c>
    </row>
    <row r="13" ht="32.6" customHeight="1">
      <c r="A13" s="4" t="inlineStr">
        <is>
          <t>Observação: "Total de linhas" conta as linhas da tabela (3); "Blocos" e "Itens" trazem a qtd_esperada das linhas blocos (D2) e itens (D4).</t>
        </is>
      </c>
      <c r="B13" s="5" t="n"/>
      <c r="C13" s="5" t="n"/>
      <c r="D13" s="5" t="n"/>
      <c r="E13" s="5" t="n"/>
    </row>
  </sheetData>
  <mergeCells count="2">
    <mergeCell ref="A6:E6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  <col width="40" customWidth="1" min="3" max="3"/>
    <col width="12" customWidth="1" min="4" max="4"/>
    <col width="12" customWidth="1" min="5" max="5"/>
  </cols>
  <sheetData>
    <row r="1" ht="30" customHeight="1">
      <c r="A1" s="1" t="inlineStr">
        <is>
          <t>item</t>
        </is>
      </c>
      <c r="B1" s="1" t="inlineStr">
        <is>
          <t>descricao</t>
        </is>
      </c>
      <c r="C1" s="1" t="inlineStr">
        <is>
          <t>fonte</t>
        </is>
      </c>
      <c r="D1" s="1" t="inlineStr">
        <is>
          <t>status</t>
        </is>
      </c>
      <c r="E1" s="1" t="inlineStr">
        <is>
          <t>data</t>
        </is>
      </c>
    </row>
    <row r="2" ht="46.40000000000001" customHeight="1">
      <c r="A2" s="2" t="inlineStr">
        <is>
          <t>Normas (48)</t>
        </is>
      </c>
      <c r="B2" s="2" t="inlineStr">
        <is>
          <t>Biblioteca Normativa com 48 normas reais (Lei Federal 15; Norma ABNT 15; NR (MTE) 5; Portaria Ministerial 1; Resolução ANVISA 1; Jurisprudência 3; Regulamento técnico estadual 1; Resolução regulamentar 1; Documento interno PROA 6)</t>
        </is>
      </c>
      <c r="C2" s="2" t="inlineStr">
        <is>
          <t>PROA-BIBLIOTECA-NORMATIVA-V2.xlsx</t>
        </is>
      </c>
      <c r="D2" s="3" t="inlineStr">
        <is>
          <t>FECHADA</t>
        </is>
      </c>
      <c r="E2" s="3" t="inlineStr">
        <is>
          <t>14/10/2026</t>
        </is>
      </c>
    </row>
    <row r="3" ht="32.6" customHeight="1">
      <c r="A3" s="2" t="inlineStr">
        <is>
          <t>Campos técnicos</t>
        </is>
      </c>
      <c r="B3" s="2" t="inlineStr">
        <is>
          <t>artigo_secao, edicao_ano, data_consulta, responsavel_validacao, limite_aplicabilidade + nota_orientativa (campo novo, garantia de "certeza de aplicação")</t>
        </is>
      </c>
      <c r="C3" s="2" t="inlineStr">
        <is>
          <t>PROA-PREENCHIMENTO-BIBLIOTECA-V2.xlsx</t>
        </is>
      </c>
      <c r="D3" s="3" t="inlineStr">
        <is>
          <t>FECHADA</t>
        </is>
      </c>
      <c r="E3" s="3" t="inlineStr">
        <is>
          <t>14/10/2026</t>
        </is>
      </c>
    </row>
    <row r="4" ht="18.8" customHeight="1">
      <c r="A4" s="2" t="inlineStr">
        <is>
          <t>Validação</t>
        </is>
      </c>
      <c r="B4" s="2" t="inlineStr">
        <is>
          <t>48/48 VALIDADO pelo Consultor de Governança Preventiva (Paulo)</t>
        </is>
      </c>
      <c r="C4" s="2" t="inlineStr">
        <is>
          <t>PROA-PREENCHIMENTO-BIBLIOTECA-V2.xlsx</t>
        </is>
      </c>
      <c r="D4" s="3" t="inlineStr">
        <is>
          <t>FECHADA</t>
        </is>
      </c>
      <c r="E4" s="3" t="inlineStr">
        <is>
          <t>14/10/2026</t>
        </is>
      </c>
    </row>
    <row r="5" ht="18.8" customHeight="1">
      <c r="A5" s="2" t="inlineStr">
        <is>
          <t>Revisão semestral</t>
        </is>
      </c>
      <c r="B5" s="2" t="inlineStr">
        <is>
          <t>Checagem de vigência das normas a cada 6 meses (status de vigência + URL canônica)</t>
        </is>
      </c>
      <c r="C5" s="2" t="inlineStr">
        <is>
          <t>Política do projeto</t>
        </is>
      </c>
      <c r="D5" s="3" t="inlineStr">
        <is>
          <t>AGENDADA</t>
        </is>
      </c>
      <c r="E5" s="3" t="inlineStr">
        <is>
          <t>semestral</t>
        </is>
      </c>
    </row>
    <row r="6" ht="8" customHeight="1"/>
    <row r="7" ht="32.6" customHeight="1">
      <c r="A7" s="6" t="inlineStr">
        <is>
          <t>Pontos de atenção: (1) NBR 10818 — título/finalidade A CONFERIR antes da carga no banco; (2) ITs do Corpo de Bombeiros — UF definida no PILOTO-001 (SP → AVCB/CB); (3) NBR 13434 — substituída pela NBR 16820:2020, trocar na revisão semestral; (4) Estatuto da Pessoa Idosa (Lei 14.423/2022 — nome atualizado).</t>
        </is>
      </c>
      <c r="B7" s="7" t="n"/>
      <c r="C7" s="7" t="n"/>
      <c r="D7" s="7" t="n"/>
      <c r="E7" s="7" t="n"/>
    </row>
    <row r="8" ht="8" customHeight="1"/>
    <row r="9" ht="22" customHeight="1">
      <c r="A9" s="1" t="inlineStr">
        <is>
          <t>Indicador</t>
        </is>
      </c>
      <c r="B9" s="1" t="inlineStr">
        <is>
          <t>Valor</t>
        </is>
      </c>
    </row>
    <row r="10" ht="18.8" customHeight="1">
      <c r="A10" s="2" t="inlineStr">
        <is>
          <t>Total de normas</t>
        </is>
      </c>
      <c r="B10" s="3">
        <f>COUNTA(A2:A5)</f>
        <v/>
      </c>
    </row>
    <row r="11" ht="18.8" customHeight="1">
      <c r="A11" s="2" t="inlineStr">
        <is>
          <t>Validado</t>
        </is>
      </c>
      <c r="B11" s="3">
        <f>COUNTIF(D2:D5,"FECHADA")</f>
        <v/>
      </c>
    </row>
    <row r="12" ht="32.6" customHeight="1">
      <c r="A12" s="4" t="inlineStr">
        <is>
          <t>Observação: "Total de normas" conta as linhas deste inventário (4: Normas (48), Campos técnicos, Validação, Revisão semestral); as 48 normas NB-001 a NB-048 estão na fonte PROA-BIBLIOTECA-NORMATIVA-V2.xlsx. "Validado" conta as linhas com status FECHADA (3).</t>
        </is>
      </c>
      <c r="B12" s="5" t="n"/>
      <c r="C12" s="5" t="n"/>
      <c r="D12" s="5" t="n"/>
      <c r="E12" s="5" t="n"/>
    </row>
  </sheetData>
  <mergeCells count="2">
    <mergeCell ref="A7:E7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24" customWidth="1" min="3" max="3"/>
  </cols>
  <sheetData>
    <row r="1" ht="30" customHeight="1">
      <c r="A1" s="1" t="inlineStr">
        <is>
          <t>item</t>
        </is>
      </c>
      <c r="B1" s="1" t="inlineStr">
        <is>
          <t>descricao</t>
        </is>
      </c>
      <c r="C1" s="1" t="inlineStr">
        <is>
          <t>status</t>
        </is>
      </c>
    </row>
    <row r="2" ht="32.6" customHeight="1">
      <c r="A2" s="2" t="inlineStr">
        <is>
          <t>Matriz de Fundamentação (1ª onda)</t>
        </is>
      </c>
      <c r="B2" s="2" t="inlineStr">
        <is>
          <t>Vincular itens dos 738 às 48 normas validadas; 1ª onda = B18/B16/B05/B08/B01 (205 itens); boa prática tem justificativa própria</t>
        </is>
      </c>
      <c r="C2" s="3" t="inlineStr">
        <is>
          <t>EM PLANEJAMENTO</t>
        </is>
      </c>
    </row>
    <row r="3" ht="18.8" customHeight="1">
      <c r="A3" s="2" t="inlineStr">
        <is>
          <t>Item × Norma (N:N)</t>
        </is>
      </c>
      <c r="B3" s="2" t="inlineStr">
        <is>
          <t>Tabela de vínculo muitos-para-muitos entre itens e normas</t>
        </is>
      </c>
      <c r="C3" s="3" t="inlineStr">
        <is>
          <t>EM PLANEJAMENTO</t>
        </is>
      </c>
    </row>
    <row r="4" ht="32.6" customHeight="1">
      <c r="A4" s="2" t="inlineStr">
        <is>
          <t>IM-Bn</t>
        </is>
      </c>
      <c r="B4" s="2" t="inlineStr">
        <is>
          <t>Índice de maturidade por bloco (verde 1,0/amarelo 0,5/vermelho 0,0; % cobertura; 3 estados; conclusivo ≥80%)</t>
        </is>
      </c>
      <c r="C4" s="3" t="inlineStr">
        <is>
          <t>EM PLANEJAMENTO</t>
        </is>
      </c>
    </row>
    <row r="5" ht="18.8" customHeight="1">
      <c r="A5" s="2" t="inlineStr">
        <is>
          <t>Série histórica / time-series</t>
        </is>
      </c>
      <c r="B5" s="2" t="inlineStr">
        <is>
          <t>Dados de uso nascem imutáveis (registro de medições)</t>
        </is>
      </c>
      <c r="C5" s="3" t="inlineStr">
        <is>
          <t>EM PLANEJAMENTO</t>
        </is>
      </c>
    </row>
    <row r="6" ht="18.8" customHeight="1">
      <c r="A6" s="2" t="inlineStr">
        <is>
          <t>Evidências e anexos</t>
        </is>
      </c>
      <c r="B6" s="2" t="inlineStr">
        <is>
          <t>Campo de evidência por registro + estado "INEXISTENTE" com justificativa (fecha a trilha de 7 metadados)</t>
        </is>
      </c>
      <c r="C6" s="3" t="inlineStr">
        <is>
          <t>EM PLANEJAMENTO</t>
        </is>
      </c>
    </row>
    <row r="7" ht="18.8" customHeight="1">
      <c r="A7" s="4" t="inlineStr">
        <is>
          <t>Observação: prioridade imediata é a Matriz de Fundamentação 1ª onda (205 itens) sobre as 48 normas validadas; depois IM-Bn.</t>
        </is>
      </c>
      <c r="B7" s="5" t="n"/>
      <c r="C7" s="5" t="n"/>
    </row>
  </sheetData>
  <mergeCells count="1">
    <mergeCell ref="A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  <col width="42" customWidth="1" min="3" max="3"/>
  </cols>
  <sheetData>
    <row r="1" ht="30" customHeight="1">
      <c r="A1" s="1" t="inlineStr">
        <is>
          <t>item</t>
        </is>
      </c>
      <c r="B1" s="1" t="inlineStr">
        <is>
          <t>descricao</t>
        </is>
      </c>
      <c r="C1" s="1" t="inlineStr">
        <is>
          <t>status</t>
        </is>
      </c>
    </row>
    <row r="2" ht="32.6" customHeight="1">
      <c r="A2" s="2" t="inlineStr">
        <is>
          <t>Vencimentos</t>
        </is>
      </c>
      <c r="B2" s="2" t="inlineStr">
        <is>
          <t>Controle de obrigações com vencimentos (90/60/30, VEN-XXX, ativo/renovado/arquivado, semáforo) — homologado na bateria TV-01 a TV-08; campo de evidência a implementar no Lovable</t>
        </is>
      </c>
      <c r="C2" s="3" t="inlineStr">
        <is>
          <t>EM PLANEJAMENTO (homologado; aguarda ajustes Lovable)</t>
        </is>
      </c>
    </row>
    <row r="3" ht="18.8" customHeight="1">
      <c r="A3" s="2" t="inlineStr">
        <is>
          <t>PA/APS</t>
        </is>
      </c>
      <c r="B3" s="2" t="inlineStr">
        <is>
          <t>Plano de Ação / Acompanhamento Positivo da Situação — ciclo de 7 etapas com histórico</t>
        </is>
      </c>
      <c r="C3" s="3" t="inlineStr">
        <is>
          <t>EM PLANEJAMENTO</t>
        </is>
      </c>
    </row>
    <row r="4" ht="18.8" customHeight="1">
      <c r="A4" s="2" t="inlineStr">
        <is>
          <t>Metadados de campo</t>
        </is>
      </c>
      <c r="B4" s="2" t="inlineStr">
        <is>
          <t>Registro de campo (quem, o quê, quando, onde, evidência, severidade, vínculo)</t>
        </is>
      </c>
      <c r="C4" s="3" t="inlineStr">
        <is>
          <t>EM PLANEJAMENTO</t>
        </is>
      </c>
    </row>
    <row r="5" ht="18.8" customHeight="1">
      <c r="A5" s="2" t="inlineStr">
        <is>
          <t>Item × Subgrupo</t>
        </is>
      </c>
      <c r="B5" s="2" t="inlineStr">
        <is>
          <t>Relação de itens por subgrupo/área</t>
        </is>
      </c>
      <c r="C5" s="3" t="inlineStr">
        <is>
          <t>EM PLANEJAMENTO</t>
        </is>
      </c>
    </row>
    <row r="6" ht="18.8" customHeight="1">
      <c r="A6" s="2" t="inlineStr">
        <is>
          <t>Cadeia de custódia</t>
        </is>
      </c>
      <c r="B6" s="2" t="inlineStr">
        <is>
          <t>Rastreabilidade de documentos e registros ao longo do tempo</t>
        </is>
      </c>
      <c r="C6" s="3" t="inlineStr">
        <is>
          <t>EM PLANEJAMENTO</t>
        </is>
      </c>
    </row>
    <row r="7" ht="32.6" customHeight="1">
      <c r="A7" s="2" t="inlineStr">
        <is>
          <t>Cadastro entidade/UF</t>
        </is>
      </c>
      <c r="B7" s="2" t="inlineStr">
        <is>
          <t>Tipo de entidade (condomínio/associação), UF/município, convenção/estatuto — cresce por cliente no PILOTO-001</t>
        </is>
      </c>
      <c r="C7" s="3" t="inlineStr">
        <is>
          <t>EM PLANEJAMENTO</t>
        </is>
      </c>
    </row>
    <row r="8" ht="18.8" customHeight="1">
      <c r="A8" s="4" t="inlineStr">
        <is>
          <t>Observação: dados REAIS só entram no PILOTO-001 (Miami = condomínio; Los Alamos = associação). Colaboração/offline/permissões/recuperação dependem da Fase D.</t>
        </is>
      </c>
      <c r="B8" s="5" t="n"/>
      <c r="C8" s="5" t="n"/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42" customWidth="1" min="4" max="4"/>
  </cols>
  <sheetData>
    <row r="1" ht="30" customHeight="1">
      <c r="A1" s="1" t="inlineStr">
        <is>
          <t>onda</t>
        </is>
      </c>
      <c r="B1" s="1" t="inlineStr">
        <is>
          <t>foco</t>
        </is>
      </c>
      <c r="C1" s="1" t="inlineStr">
        <is>
          <t>status</t>
        </is>
      </c>
      <c r="D1" s="1" t="inlineStr">
        <is>
          <t>indicador</t>
        </is>
      </c>
    </row>
    <row r="2" ht="18.8" customHeight="1">
      <c r="A2" s="3" t="inlineStr">
        <is>
          <t>Onda 1</t>
        </is>
      </c>
      <c r="B2" s="2" t="inlineStr">
        <is>
          <t>Seed (blocos, versão, itens 738)</t>
        </is>
      </c>
      <c r="C2" s="3" t="inlineStr">
        <is>
          <t>FECHADA</t>
        </is>
      </c>
      <c r="D2" s="2" t="inlineStr">
        <is>
          <t>738 itens + 18 blocos (CSVs/planilha)</t>
        </is>
      </c>
    </row>
    <row r="3" ht="18.8" customHeight="1">
      <c r="A3" s="3" t="inlineStr">
        <is>
          <t>Onda 2</t>
        </is>
      </c>
      <c r="B3" s="2" t="inlineStr">
        <is>
          <t>Biblioteca (48 normas + campos técnicos)</t>
        </is>
      </c>
      <c r="C3" s="3" t="inlineStr">
        <is>
          <t>FECHADA</t>
        </is>
      </c>
      <c r="D3" s="2" t="inlineStr">
        <is>
          <t>48/48 VALIDADO (14/10/2026)</t>
        </is>
      </c>
    </row>
    <row r="4" ht="32.6" customHeight="1">
      <c r="A4" s="3" t="inlineStr">
        <is>
          <t>Onda 3</t>
        </is>
      </c>
      <c r="B4" s="2" t="inlineStr">
        <is>
          <t>Referência (Matriz 1ª onda 205, Item×Norma, IM-Bn, evidências)</t>
        </is>
      </c>
      <c r="C4" s="3" t="inlineStr">
        <is>
          <t>EM PLANEJAMENTO</t>
        </is>
      </c>
      <c r="D4" s="2" t="inlineStr">
        <is>
          <t>205 itens (B18/B16/B05/B08/B01)</t>
        </is>
      </c>
    </row>
    <row r="5" ht="18.8" customHeight="1">
      <c r="A5" s="3" t="inlineStr">
        <is>
          <t>Onda 4</t>
        </is>
      </c>
      <c r="B5" s="2" t="inlineStr">
        <is>
          <t>Operacional (vencimentos, PA/APS, campo, entidade/UF)</t>
        </is>
      </c>
      <c r="C5" s="3" t="inlineStr">
        <is>
          <t>EM PLANEJAMENTO</t>
        </is>
      </c>
      <c r="D5" s="2" t="inlineStr">
        <is>
          <t>Depende do PILOTO-001</t>
        </is>
      </c>
    </row>
    <row r="6" ht="8" customHeight="1"/>
    <row r="7" ht="22" customHeight="1">
      <c r="A7" s="1" t="inlineStr">
        <is>
          <t>Indicador</t>
        </is>
      </c>
      <c r="B7" s="1" t="inlineStr">
        <is>
          <t>Valor</t>
        </is>
      </c>
    </row>
    <row r="8" ht="32.6" customHeight="1">
      <c r="A8" s="2" t="inlineStr">
        <is>
          <t>Total de ondas</t>
        </is>
      </c>
      <c r="B8" s="3">
        <f>COUNTA(A2:A5)</f>
        <v/>
      </c>
    </row>
    <row r="9" ht="32.6" customHeight="1">
      <c r="A9" s="2" t="inlineStr">
        <is>
          <t>Ondas FECHADAS</t>
        </is>
      </c>
      <c r="B9" s="3">
        <f>COUNTIF(C2:C5,"FECHADA")</f>
        <v/>
      </c>
    </row>
    <row r="10" ht="32.6" customHeight="1">
      <c r="A10" s="2" t="inlineStr">
        <is>
          <t>Ondas EM PLANEJAMENTO</t>
        </is>
      </c>
      <c r="B10" s="3">
        <f>COUNTIF(C2:C5,"EM PLANEJAMENTO")</f>
        <v/>
      </c>
    </row>
    <row r="11" ht="32.6" customHeight="1">
      <c r="A11" s="2" t="inlineStr">
        <is>
          <t>Status geral</t>
        </is>
      </c>
      <c r="B11" s="3">
        <f>IF(COUNTIF(C2:C5,"FECHADA")&gt;=2,"2 ondas fechadas","REVISAR")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2026-10-14T04:07:49Z</dcterms:created>
  <dcterms:modified xsi:type="dcterms:W3CDTF">2026-10-14T04:07:49Z</dcterms:modified>
</cp:coreProperties>
</file>
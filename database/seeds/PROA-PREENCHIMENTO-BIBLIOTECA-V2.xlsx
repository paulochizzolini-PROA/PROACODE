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ntrole" sheetId="1" state="visible" r:id="rId1"/>
    <sheet name="Como_Preencher" sheetId="2" state="visible" r:id="rId2"/>
    <sheet name="Onda2_Preenchimento" sheetId="3" state="visible" r:id="rId3"/>
    <sheet name="Referencias_Conhecidas" sheetId="4" state="visible" r:id="rId4"/>
    <sheet name="1a_Onda_Matri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0D2240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165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240"/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0" customWidth="1" min="2" max="2"/>
  </cols>
  <sheetData>
    <row r="1" ht="30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Código</t>
        </is>
      </c>
      <c r="B2" s="2" t="inlineStr">
        <is>
          <t>PROA-PREENCHIMENTO-BIBLIOTECA-V2</t>
        </is>
      </c>
    </row>
    <row r="3">
      <c r="A3" s="2" t="inlineStr">
        <is>
          <t>Título</t>
        </is>
      </c>
      <c r="B3" s="2" t="inlineStr">
        <is>
          <t>PLANILHA DE PREENCHIMENTO DA BIBLIOTECA NORMATIVA — ONDA 2 (FASE B)</t>
        </is>
      </c>
    </row>
    <row r="4">
      <c r="A4" s="2" t="inlineStr">
        <is>
          <t>Data</t>
        </is>
      </c>
      <c r="B4" s="3" t="n">
        <v>46309</v>
      </c>
    </row>
    <row r="5">
      <c r="A5" s="2" t="inlineStr">
        <is>
          <t>Classificação</t>
        </is>
      </c>
      <c r="B5" s="2" t="inlineStr">
        <is>
          <t>DOCUMENTO DE GOVERNANÇA — INSTRUMENTO DE TRABALHO</t>
        </is>
      </c>
    </row>
    <row r="6">
      <c r="A6" s="2" t="inlineStr">
        <is>
          <t>Fonte de verdade</t>
        </is>
      </c>
      <c r="B6" s="2" t="inlineStr">
        <is>
          <t>PROA-BIBLIOTECA-NORMATIVA-V2.xlsx (48 normas)</t>
        </is>
      </c>
    </row>
    <row r="7">
      <c r="A7" s="2" t="inlineStr">
        <is>
          <t>Campos técnicos</t>
        </is>
      </c>
      <c r="B7" s="2" t="inlineStr">
        <is>
          <t>artigo_secao, edicao_ano, data_consulta, responsavel_validacao, limite_aplicabilidade + nota_orientativa (campo novo aprovado)</t>
        </is>
      </c>
    </row>
    <row r="8">
      <c r="A8" s="2" t="inlineStr">
        <is>
          <t>Priorização</t>
        </is>
      </c>
      <c r="B8" s="2" t="inlineStr">
        <is>
          <t>1ª onda da Matriz de Fundamentação = B18, B16, B05, B08, B01 (205 itens)</t>
        </is>
      </c>
    </row>
    <row r="9">
      <c r="A9" s="2" t="inlineStr">
        <is>
          <t>STATUS</t>
        </is>
      </c>
      <c r="B9" s="2" t="inlineStr">
        <is>
          <t>ONDA 2 FECHADA — 48/48 VALIDADO (14/10/2026; responsável: Consultor de Governança Preventiva — Paulo)</t>
        </is>
      </c>
    </row>
    <row r="10">
      <c r="A10" s="2" t="inlineStr">
        <is>
          <t>Regras</t>
        </is>
      </c>
      <c r="B10" s="2" t="inlineStr">
        <is>
          <t>NÃO inventar norma/artigo/edição/data; preencher somente com fonte verificável; PROA nunca é obrigação legal automática; revisão semestral de vigência</t>
        </is>
      </c>
    </row>
    <row r="11">
      <c r="A11" s="2" t="inlineStr">
        <is>
          <t>Distribuição (48)</t>
        </is>
      </c>
      <c r="B11" s="2" t="inlineStr">
        <is>
          <t>Lei Federal 15; Norma ABNT 15; NR (MTE) 5; Portaria Ministerial 1; Resolução ANVISA 1; Jurisprudência 3; Regulamento técnico estadual 1; Resolução regulamentar 1; Documento interno PROA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2240"/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44" customWidth="1" min="3" max="3"/>
    <col width="50" customWidth="1" min="4" max="4"/>
  </cols>
  <sheetData>
    <row r="1" ht="30" customHeight="1">
      <c r="A1" s="1" t="inlineStr">
        <is>
          <t>campo</t>
        </is>
      </c>
      <c r="B1" s="1" t="inlineStr">
        <is>
          <t>o_que_escrever</t>
        </is>
      </c>
      <c r="C1" s="1" t="inlineStr">
        <is>
          <t>exemplo</t>
        </is>
      </c>
      <c r="D1" s="1" t="inlineStr">
        <is>
          <t>regra</t>
        </is>
      </c>
    </row>
    <row r="2">
      <c r="A2" s="2" t="inlineStr">
        <is>
          <t>norma</t>
        </is>
      </c>
      <c r="B2" s="2" t="inlineStr">
        <is>
          <t>Identificação completa da norma (órgão + sigla + número)</t>
        </is>
      </c>
      <c r="C2" s="2" t="inlineStr">
        <is>
          <t>ABNT NBR 5674</t>
        </is>
      </c>
      <c r="D2" s="2" t="inlineStr">
        <is>
          <t>Conferir contra arquivo oficial; não inventar</t>
        </is>
      </c>
    </row>
    <row r="3">
      <c r="A3" s="2" t="inlineStr">
        <is>
          <t>tipo_norma</t>
        </is>
      </c>
      <c r="B3" s="2" t="inlineStr">
        <is>
          <t>Lei Federal / Norma ABNT / NR (MTE) / Portaria Ministerial / Resolução ANVISA / Jurisprudência / Regulamento técnico estadual / Resolução regulamentar / Documento interno PROA</t>
        </is>
      </c>
      <c r="C3" s="2" t="inlineStr">
        <is>
          <t>Norma ABNT</t>
        </is>
      </c>
      <c r="D3" s="2" t="inlineStr">
        <is>
          <t>Manter a distribuição total de 48</t>
        </is>
      </c>
    </row>
    <row r="4">
      <c r="A4" s="2" t="inlineStr">
        <is>
          <t>artigo_secao</t>
        </is>
      </c>
      <c r="B4" s="2" t="inlineStr">
        <is>
          <t>Trecho exato aplicável (seção, artigo, anexo)</t>
        </is>
      </c>
      <c r="C4" s="2" t="inlineStr">
        <is>
          <t>Seções 4 e 5</t>
        </is>
      </c>
      <c r="D4" s="2" t="inlineStr">
        <is>
          <t>Apontar o trecho, não o documento inteiro</t>
        </is>
      </c>
    </row>
    <row r="5">
      <c r="A5" s="2" t="inlineStr">
        <is>
          <t>edicao_ano</t>
        </is>
      </c>
      <c r="B5" s="2" t="inlineStr">
        <is>
          <t>Ano da edição vigente consultada</t>
        </is>
      </c>
      <c r="C5" s="2" t="inlineStr">
        <is>
          <t>2024</t>
        </is>
      </c>
      <c r="D5" s="2" t="inlineStr">
        <is>
          <t>Registrar a edição vigente à data da consulta</t>
        </is>
      </c>
    </row>
    <row r="6">
      <c r="A6" s="2" t="inlineStr">
        <is>
          <t>data_consulta</t>
        </is>
      </c>
      <c r="B6" s="2" t="inlineStr">
        <is>
          <t>Data da verificação</t>
        </is>
      </c>
      <c r="C6" s="2" t="inlineStr">
        <is>
          <t>14/10/2026</t>
        </is>
      </c>
      <c r="D6" s="2" t="inlineStr">
        <is>
          <t>Sempre preencher; base da revisão semestral</t>
        </is>
      </c>
    </row>
    <row r="7">
      <c r="A7" s="2" t="inlineStr">
        <is>
          <t>responsavel_validacao</t>
        </is>
      </c>
      <c r="B7" s="2" t="inlineStr">
        <is>
          <t>Quem validou a aplicação</t>
        </is>
      </c>
      <c r="C7" s="2" t="inlineStr">
        <is>
          <t>Consultor de Governança Preventiva (Paulo)</t>
        </is>
      </c>
      <c r="D7" s="2" t="inlineStr">
        <is>
          <t>Registra a trilha (quem e quando)</t>
        </is>
      </c>
    </row>
    <row r="8">
      <c r="A8" s="2" t="inlineStr">
        <is>
          <t>limite_aplicabilidade</t>
        </is>
      </c>
      <c r="B8" s="2" t="inlineStr">
        <is>
          <t>A quem se aplica (condomínio/associação; UF/município)</t>
        </is>
      </c>
      <c r="C8" s="2" t="inlineStr">
        <is>
          <t>Edificações — gestão e plano de manutenção predial</t>
        </is>
      </c>
      <c r="D8" s="2" t="inlineStr">
        <is>
          <t>Não tratar norma local como universal</t>
        </is>
      </c>
    </row>
    <row r="9">
      <c r="A9" s="2" t="inlineStr">
        <is>
          <t>nota_orientativa</t>
        </is>
      </c>
      <c r="B9" s="2" t="inlineStr">
        <is>
          <t>Comentário de aplicação: interpretação contextual, exceções, casos de uso, vínculo com itens/blocos, jurisprudência relacionada</t>
        </is>
      </c>
      <c r="C9" s="2" t="inlineStr">
        <is>
          <t>Aplicar o plano de manutenção às áreas comuns, com revisão anual</t>
        </is>
      </c>
      <c r="D9" s="2" t="inlineStr">
        <is>
          <t>Versionado; pode ter anexo de evidência</t>
        </is>
      </c>
    </row>
    <row r="10">
      <c r="A10" s="2" t="inlineStr">
        <is>
          <t>bloco_prioritario</t>
        </is>
      </c>
      <c r="B10" s="2" t="inlineStr">
        <is>
          <t>Bloco prioritário da 1ª onda (B18/B16/B05/B08/B01)</t>
        </is>
      </c>
      <c r="C10" s="2" t="inlineStr">
        <is>
          <t>B05</t>
        </is>
      </c>
      <c r="D10" s="2" t="inlineStr">
        <is>
          <t>Priorizar 1ª onda da Matriz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2240"/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12" customWidth="1" min="4" max="4"/>
    <col width="46" customWidth="1" min="5" max="5"/>
    <col width="30" customWidth="1" min="6" max="6"/>
    <col width="13" customWidth="1" min="7" max="7"/>
    <col width="34" customWidth="1" min="8" max="8"/>
    <col width="42" customWidth="1" min="9" max="9"/>
    <col width="72" customWidth="1" min="10" max="10"/>
    <col width="16" customWidth="1" min="11" max="11"/>
  </cols>
  <sheetData>
    <row r="1" ht="30" customHeight="1">
      <c r="A1" s="1" t="inlineStr">
        <is>
          <t>id</t>
        </is>
      </c>
      <c r="B1" s="1" t="inlineStr">
        <is>
          <t>tipo_norma</t>
        </is>
      </c>
      <c r="C1" s="1" t="inlineStr">
        <is>
          <t>norma</t>
        </is>
      </c>
      <c r="D1" s="1" t="inlineStr">
        <is>
          <t>bloco_prioritario</t>
        </is>
      </c>
      <c r="E1" s="1" t="inlineStr">
        <is>
          <t>artigo_secao</t>
        </is>
      </c>
      <c r="F1" s="1" t="inlineStr">
        <is>
          <t>edicao_ano</t>
        </is>
      </c>
      <c r="G1" s="1" t="inlineStr">
        <is>
          <t>data_consulta</t>
        </is>
      </c>
      <c r="H1" s="1" t="inlineStr">
        <is>
          <t>responsavel_validacao</t>
        </is>
      </c>
      <c r="I1" s="1" t="inlineStr">
        <is>
          <t>limite_aplicabilidade</t>
        </is>
      </c>
      <c r="J1" s="1" t="inlineStr">
        <is>
          <t>nota_orientativa</t>
        </is>
      </c>
      <c r="K1" s="1" t="inlineStr">
        <is>
          <t>status_preenchimento</t>
        </is>
      </c>
    </row>
    <row r="2">
      <c r="A2" s="4" t="n">
        <v>1</v>
      </c>
      <c r="B2" s="2" t="inlineStr">
        <is>
          <t>Lei Federal</t>
        </is>
      </c>
      <c r="C2" s="2" t="inlineStr">
        <is>
          <t>Código Civil — Lei 10.406/2002</t>
        </is>
      </c>
      <c r="D2" s="4" t="inlineStr">
        <is>
          <t>B01</t>
        </is>
      </c>
      <c r="E2" s="2" t="inlineStr">
        <is>
          <t>Arts. 1.331 a 1.358 (condomínio edilício); arts. 53 a 61 (associações); art. 1.336 (cota propter rem)</t>
        </is>
      </c>
      <c r="F2" s="2" t="inlineStr">
        <is>
          <t>2002 — vigente (redação consolidada)</t>
        </is>
      </c>
      <c r="G2" s="3" t="n">
        <v>46309</v>
      </c>
      <c r="H2" s="2" t="inlineStr">
        <is>
          <t>Consultor de Governança Preventiva (Paulo)</t>
        </is>
      </c>
      <c r="I2" s="2" t="inlineStr">
        <is>
          <t>Todas as entidades (condomínios e associações) — fundamento dos regimes</t>
        </is>
      </c>
      <c r="J2" s="2" t="inlineStr">
        <is>
          <t>Núcleo legal do condomínio edilício (arts. 1.331-1.358) e das associações (arts. 53-61). Destaques: convenção (art. 1.333), assembleia e cota propter rem (art. 1.336). Fonte: Planalto.</t>
        </is>
      </c>
      <c r="K2" s="2" t="inlineStr">
        <is>
          <t>Validado</t>
        </is>
      </c>
    </row>
    <row r="3">
      <c r="A3" s="4" t="n">
        <v>2</v>
      </c>
      <c r="B3" s="2" t="inlineStr">
        <is>
          <t>Lei Federal</t>
        </is>
      </c>
      <c r="C3" s="2" t="inlineStr">
        <is>
          <t>Código de Processo Civil — Lei 13.105/2015</t>
        </is>
      </c>
      <c r="D3" s="4" t="inlineStr">
        <is>
          <t>B01</t>
        </is>
      </c>
      <c r="E3" s="2" t="inlineStr">
        <is>
          <t>Art. 784 (títulos executivos extrajudiciais) — verificar itens no texto integral</t>
        </is>
      </c>
      <c r="F3" s="2" t="inlineStr">
        <is>
          <t>2015 — vigente (redação consolidada)</t>
        </is>
      </c>
      <c r="G3" s="3" t="n">
        <v>46309</v>
      </c>
      <c r="H3" s="2" t="inlineStr">
        <is>
          <t>Consultor de Governança Preventiva (Paulo)</t>
        </is>
      </c>
      <c r="I3" s="2" t="inlineStr">
        <is>
          <t>Entidades — execução de cotas condominiais e obrigações</t>
        </is>
      </c>
      <c r="J3" s="2" t="inlineStr">
        <is>
          <t>CPC regula a execução; o art. 784 lista títulos executivos extrajudiciais (relevante para cobrança de cotas). Conferir aplicação com assessoria jurídica.</t>
        </is>
      </c>
      <c r="K3" s="2" t="inlineStr">
        <is>
          <t>Validado</t>
        </is>
      </c>
    </row>
    <row r="4">
      <c r="A4" s="4" t="n">
        <v>3</v>
      </c>
      <c r="B4" s="2" t="inlineStr">
        <is>
          <t>Lei Federal</t>
        </is>
      </c>
      <c r="C4" s="2" t="inlineStr">
        <is>
          <t>Código de Defesa do Consumidor — Lei 8.078/1990</t>
        </is>
      </c>
      <c r="D4" s="4" t="inlineStr">
        <is>
          <t>B01</t>
        </is>
      </c>
      <c r="E4" s="2" t="inlineStr">
        <is>
          <t>Arts. 1º a 7º (princípios e direitos básicos) — verificar aplicação nas relações do condomínio</t>
        </is>
      </c>
      <c r="F4" s="2" t="inlineStr">
        <is>
          <t>1990 — vigente (redação consolidada)</t>
        </is>
      </c>
      <c r="G4" s="3" t="n">
        <v>46309</v>
      </c>
      <c r="H4" s="2" t="inlineStr">
        <is>
          <t>Consultor de Governança Preventiva (Paulo)</t>
        </is>
      </c>
      <c r="I4" s="2" t="inlineStr">
        <is>
          <t>Condomínios/associações como consumidores de produtos e serviços (fornecedores, prestadores)</t>
        </is>
      </c>
      <c r="J4" s="2" t="inlineStr">
        <is>
          <t>Aplica-se nas relações de consumo do condomínio com fornecedores e prestadores (não nas relações internas entre condôminos). Fonte: Planalto.</t>
        </is>
      </c>
      <c r="K4" s="2" t="inlineStr">
        <is>
          <t>Validado</t>
        </is>
      </c>
    </row>
    <row r="5">
      <c r="A5" s="4" t="n">
        <v>4</v>
      </c>
      <c r="B5" s="2" t="inlineStr">
        <is>
          <t>Lei Federal</t>
        </is>
      </c>
      <c r="C5" s="2" t="inlineStr">
        <is>
          <t>LGPD — Lei 13.709/2018</t>
        </is>
      </c>
      <c r="D5" s="4" t="inlineStr">
        <is>
          <t>B01</t>
        </is>
      </c>
      <c r="E5" s="2" t="inlineStr">
        <is>
          <t>Arts. 1º a 7º (âmbito e princípios); Capítulo do encarregado (arts. 37 a 41)</t>
        </is>
      </c>
      <c r="F5" s="2" t="inlineStr">
        <is>
          <t>2018 — vigente (redação dada pela Lei 13.853/2019)</t>
        </is>
      </c>
      <c r="G5" s="3" t="n">
        <v>46309</v>
      </c>
      <c r="H5" s="2" t="inlineStr">
        <is>
          <t>Consultor de Governança Preventiva (Paulo)</t>
        </is>
      </c>
      <c r="I5" s="2" t="inlineStr">
        <is>
          <t>Todas as entidades — tratamento de dados pessoais de moradores, associados e funcionários</t>
        </is>
      </c>
      <c r="J5" s="2" t="inlineStr">
        <is>
          <t>Aplica-se aos condomínios (art. 3º); dados de moradores, visitantes e funcionários; exige registro de tratamento e governança. Fonte: Planalto.</t>
        </is>
      </c>
      <c r="K5" s="2" t="inlineStr">
        <is>
          <t>Validado</t>
        </is>
      </c>
    </row>
    <row r="6">
      <c r="A6" s="4" t="n">
        <v>5</v>
      </c>
      <c r="B6" s="2" t="inlineStr">
        <is>
          <t>Lei Federal</t>
        </is>
      </c>
      <c r="C6" s="2" t="inlineStr">
        <is>
          <t>Lei Brasileira de Inclusão — Lei 13.146/2015</t>
        </is>
      </c>
      <c r="D6" s="4" t="inlineStr">
        <is>
          <t>B08</t>
        </is>
      </c>
      <c r="E6" s="2" t="inlineStr">
        <is>
          <t>Arts. 53 e seguintes (acessibilidade) — verificar no texto integral</t>
        </is>
      </c>
      <c r="F6" s="2" t="inlineStr">
        <is>
          <t>2015 — vigente</t>
        </is>
      </c>
      <c r="G6" s="3" t="n">
        <v>46309</v>
      </c>
      <c r="H6" s="2" t="inlineStr">
        <is>
          <t>Consultor de Governança Preventiva (Paulo)</t>
        </is>
      </c>
      <c r="I6" s="2" t="inlineStr">
        <is>
          <t>Edificações multifamiliares — acessibilidade nas áreas de uso comum e unidades no piso térreo</t>
        </is>
      </c>
      <c r="J6" s="2" t="inlineStr">
        <is>
          <t>Garante acessibilidade às pessoas com deficiência; em condomínios, aplica-se às áreas comuns e às unidades no piso térreo. Fonte: Planalto.</t>
        </is>
      </c>
      <c r="K6" s="2" t="inlineStr">
        <is>
          <t>Validado</t>
        </is>
      </c>
    </row>
    <row r="7">
      <c r="A7" s="4" t="n">
        <v>6</v>
      </c>
      <c r="B7" s="2" t="inlineStr">
        <is>
          <t>Lei Federal</t>
        </is>
      </c>
      <c r="C7" s="2" t="inlineStr">
        <is>
          <t>Estatuto do Idoso — Lei 10.741/2003</t>
        </is>
      </c>
      <c r="D7" s="4" t="inlineStr">
        <is>
          <t>B08</t>
        </is>
      </c>
      <c r="E7" s="2" t="inlineStr">
        <is>
          <t>Arts. 3º (prioridade) e 3º § 2º (prioridade especial 80+) — verificar</t>
        </is>
      </c>
      <c r="F7" s="2" t="inlineStr">
        <is>
          <t>2003 — vigente (redação dada pela Lei 14.423/2022)</t>
        </is>
      </c>
      <c r="G7" s="3" t="n">
        <v>46309</v>
      </c>
      <c r="H7" s="2" t="inlineStr">
        <is>
          <t>Consultor de Governança Preventiva (Paulo)</t>
        </is>
      </c>
      <c r="I7" s="2" t="inlineStr">
        <is>
          <t>Entidades com pessoas com 60 anos ou mais — prioridade de atendimento e conforto</t>
        </is>
      </c>
      <c r="J7" s="2" t="inlineStr">
        <is>
          <t>Atenção à denominação: Estatuto da Pessoa Idosa (Lei 14.423/2022). Garante prioridade de atendimento; aplicável a portarias, filas e áreas de convivência. Fonte: Planalto.</t>
        </is>
      </c>
      <c r="K7" s="2" t="inlineStr">
        <is>
          <t>Validado</t>
        </is>
      </c>
    </row>
    <row r="8">
      <c r="A8" s="4" t="n">
        <v>7</v>
      </c>
      <c r="B8" s="2" t="inlineStr">
        <is>
          <t>Lei Federal</t>
        </is>
      </c>
      <c r="C8" s="2" t="inlineStr">
        <is>
          <t>CTB — Lei 9.503/1997</t>
        </is>
      </c>
      <c r="D8" s="4" t="inlineStr">
        <is>
          <t>B08</t>
        </is>
      </c>
      <c r="E8" s="2" t="inlineStr">
        <is>
          <t>Art. 2º, parágrafo único (vias internas de condomínios) — verificar</t>
        </is>
      </c>
      <c r="F8" s="2" t="inlineStr">
        <is>
          <t>1997 — vigente (redação consolidada)</t>
        </is>
      </c>
      <c r="G8" s="3" t="n">
        <v>46309</v>
      </c>
      <c r="H8" s="2" t="inlineStr">
        <is>
          <t>Consultor de Governança Preventiva (Paulo)</t>
        </is>
      </c>
      <c r="I8" s="2" t="inlineStr">
        <is>
          <t>Condomínios com vias internas — circulação, parada e estacionamento</t>
        </is>
      </c>
      <c r="J8" s="2" t="inlineStr">
        <is>
          <t>O CTB considera as vias internas de condomínios como vias terrestres (art. 2º, parágrafo único) — regras de circulação/estacionamento se aplicam. Fonte: Planalto, Jusbrasil.</t>
        </is>
      </c>
      <c r="K8" s="2" t="inlineStr">
        <is>
          <t>Validado</t>
        </is>
      </c>
    </row>
    <row r="9">
      <c r="A9" s="4" t="n">
        <v>8</v>
      </c>
      <c r="B9" s="2" t="inlineStr">
        <is>
          <t>Lei Federal</t>
        </is>
      </c>
      <c r="C9" s="2" t="inlineStr">
        <is>
          <t>Política Nacional de Resíduos Sólidos — Lei 12.305/2010</t>
        </is>
      </c>
      <c r="D9" s="4" t="inlineStr">
        <is>
          <t>B05</t>
        </is>
      </c>
      <c r="E9" s="2" t="inlineStr">
        <is>
          <t>Arts. 3º (definições) e 9º a 12 (gestão de resíduos) — verificar</t>
        </is>
      </c>
      <c r="F9" s="2" t="inlineStr">
        <is>
          <t>2010 — vigente (regulamentada pelos Decretos 7.404/2010 e 10.936/2022)</t>
        </is>
      </c>
      <c r="G9" s="3" t="n">
        <v>46309</v>
      </c>
      <c r="H9" s="2" t="inlineStr">
        <is>
          <t>Consultor de Governança Preventiva (Paulo)</t>
        </is>
      </c>
      <c r="I9" s="2" t="inlineStr">
        <is>
          <t>Condomínios/associações como geradores de resíduos sólidos — coleta seletiva e destinação</t>
        </is>
      </c>
      <c r="J9" s="2" t="inlineStr">
        <is>
          <t>Exige gestão adequada dos resíduos; condomínios são geradores e devem implementar coleta seletiva e destinação correta. Fonte: Planalto.</t>
        </is>
      </c>
      <c r="K9" s="2" t="inlineStr">
        <is>
          <t>Validado</t>
        </is>
      </c>
    </row>
    <row r="10">
      <c r="A10" s="4" t="n">
        <v>9</v>
      </c>
      <c r="B10" s="2" t="inlineStr">
        <is>
          <t>Lei Federal</t>
        </is>
      </c>
      <c r="C10" s="2" t="inlineStr">
        <is>
          <t>Política Nacional de Recursos Hídricos — Lei 9.433/1997</t>
        </is>
      </c>
      <c r="D10" s="4" t="inlineStr">
        <is>
          <t>B05</t>
        </is>
      </c>
      <c r="E10" s="2" t="inlineStr">
        <is>
          <t>Arts. 1º a 5º (fundamentos da política) — verificar</t>
        </is>
      </c>
      <c r="F10" s="2" t="inlineStr">
        <is>
          <t>1997 — vigente</t>
        </is>
      </c>
      <c r="G10" s="3" t="n">
        <v>46309</v>
      </c>
      <c r="H10" s="2" t="inlineStr">
        <is>
          <t>Consultor de Governança Preventiva (Paulo)</t>
        </is>
      </c>
      <c r="I10" s="2" t="inlineStr">
        <is>
          <t>Uso da água (poços, captações) e gestão de recursos hídricos nas entidades</t>
        </is>
      </c>
      <c r="J10" s="2" t="inlineStr">
        <is>
          <t>Dispõe sobre a gestão das águas; relevante para captações, poços e outorgas em áreas comuns. Fonte: Planalto/Gov ANA.</t>
        </is>
      </c>
      <c r="K10" s="2" t="inlineStr">
        <is>
          <t>Validado</t>
        </is>
      </c>
    </row>
    <row r="11">
      <c r="A11" s="4" t="n">
        <v>10</v>
      </c>
      <c r="B11" s="2" t="inlineStr">
        <is>
          <t>Lei Federal</t>
        </is>
      </c>
      <c r="C11" s="2" t="inlineStr">
        <is>
          <t>Lei de Telecomunicações — Lei 13.116/2015</t>
        </is>
      </c>
      <c r="D11" s="4" t="inlineStr">
        <is>
          <t>B08</t>
        </is>
      </c>
      <c r="E11" s="2" t="inlineStr">
        <is>
          <t>Lei Geral das Antenas — infraestrutura de telecomunicações (verificar artigos)</t>
        </is>
      </c>
      <c r="F11" s="2" t="inlineStr">
        <is>
          <t>2015 — vigente (regulamentada pelo Decreto 10.480/2020)</t>
        </is>
      </c>
      <c r="G11" s="3" t="n">
        <v>46309</v>
      </c>
      <c r="H11" s="2" t="inlineStr">
        <is>
          <t>Consultor de Governança Preventiva (Paulo)</t>
        </is>
      </c>
      <c r="I11" s="2" t="inlineStr">
        <is>
          <t>Condomínios — instalação e compartilhamento de infraestrutura de telecomunicações (antenas)</t>
        </is>
      </c>
      <c r="J11" s="2" t="inlineStr">
        <is>
          <t>Dispõe sobre implantação de infraestrutura de telecom; relevante para instalação de antenas/ERBs em condomínios. Fonte: Planalto.</t>
        </is>
      </c>
      <c r="K11" s="2" t="inlineStr">
        <is>
          <t>Validado</t>
        </is>
      </c>
    </row>
    <row r="12">
      <c r="A12" s="4" t="n">
        <v>11</v>
      </c>
      <c r="B12" s="2" t="inlineStr">
        <is>
          <t>Lei Federal</t>
        </is>
      </c>
      <c r="C12" s="2" t="inlineStr">
        <is>
          <t>Código Florestal — Lei 12.651/2012</t>
        </is>
      </c>
      <c r="D12" s="4" t="inlineStr">
        <is>
          <t>B05</t>
        </is>
      </c>
      <c r="E12" s="2" t="inlineStr">
        <is>
          <t>Arts. 3º (definições) e 4º (APPs) — verificar aplicação</t>
        </is>
      </c>
      <c r="F12" s="2" t="inlineStr">
        <is>
          <t>2012 — vigente</t>
        </is>
      </c>
      <c r="G12" s="3" t="n">
        <v>46309</v>
      </c>
      <c r="H12" s="2" t="inlineStr">
        <is>
          <t>Consultor de Governança Preventiva (Paulo)</t>
        </is>
      </c>
      <c r="I12" s="2" t="inlineStr">
        <is>
          <t>Entidades com áreas verdes, nascentes e APPs (loteamentos e condomínios de lotes)</t>
        </is>
      </c>
      <c r="J12" s="2" t="inlineStr">
        <is>
          <t>Proteção da vegetação nativa e APPs; aplicável a loteamentos com áreas verdes/APP. Verificar a realidade de cada entidade. Fonte: Planalto, Embrapa.</t>
        </is>
      </c>
      <c r="K12" s="2" t="inlineStr">
        <is>
          <t>Validado</t>
        </is>
      </c>
    </row>
    <row r="13">
      <c r="A13" s="4" t="n">
        <v>12</v>
      </c>
      <c r="B13" s="2" t="inlineStr">
        <is>
          <t>Lei Federal</t>
        </is>
      </c>
      <c r="C13" s="2" t="inlineStr">
        <is>
          <t>Lei de Crimes Ambientais — Lei 9.605/1998</t>
        </is>
      </c>
      <c r="D13" s="4" t="inlineStr">
        <is>
          <t>B05</t>
        </is>
      </c>
      <c r="E13" s="2" t="inlineStr">
        <is>
          <t>Arts. 2º a 4º (responsabilidade) — verificar</t>
        </is>
      </c>
      <c r="F13" s="2" t="inlineStr">
        <is>
          <t>1998 — vigente</t>
        </is>
      </c>
      <c r="G13" s="3" t="n">
        <v>46309</v>
      </c>
      <c r="H13" s="2" t="inlineStr">
        <is>
          <t>Consultor de Governança Preventiva (Paulo)</t>
        </is>
      </c>
      <c r="I13" s="2" t="inlineStr">
        <is>
          <t>Entidades — responsabilidade por danos ambientais (supressão irregular, poluição)</t>
        </is>
      </c>
      <c r="J13" s="2" t="inlineStr">
        <is>
          <t>Responsabiliza pessoa jurídica por crimes ambientais; complementa Código Florestal e PNRS na gestão ambiental. Fonte: Planalto.</t>
        </is>
      </c>
      <c r="K13" s="2" t="inlineStr">
        <is>
          <t>Validado</t>
        </is>
      </c>
    </row>
    <row r="14">
      <c r="A14" s="4" t="n">
        <v>13</v>
      </c>
      <c r="B14" s="2" t="inlineStr">
        <is>
          <t>Lei Federal</t>
        </is>
      </c>
      <c r="C14" s="2" t="inlineStr">
        <is>
          <t>Lei Anticorrupção — Lei 12.846/2013</t>
        </is>
      </c>
      <c r="D14" s="4" t="inlineStr">
        <is>
          <t>B01</t>
        </is>
      </c>
      <c r="E14" s="2" t="inlineStr">
        <is>
          <t>Arts. 1º a 2º (responsabilidade objetiva) — verificar</t>
        </is>
      </c>
      <c r="F14" s="2" t="inlineStr">
        <is>
          <t>2013 — vigente (regulamentada pelo Decreto 11.129/2022)</t>
        </is>
      </c>
      <c r="G14" s="3" t="n">
        <v>46309</v>
      </c>
      <c r="H14" s="2" t="inlineStr">
        <is>
          <t>Consultor de Governança Preventiva (Paulo)</t>
        </is>
      </c>
      <c r="I14" s="2" t="inlineStr">
        <is>
          <t>Entidades na contratação de fornecedores e prestadores — integridade</t>
        </is>
      </c>
      <c r="J14" s="2" t="inlineStr">
        <is>
          <t>Responsabilidade objetiva de empresas por atos contra a administração; referência para políticas de integridade na gestão de fornecedores. Fonte: Planalto, CGU.</t>
        </is>
      </c>
      <c r="K14" s="2" t="inlineStr">
        <is>
          <t>Validado</t>
        </is>
      </c>
    </row>
    <row r="15">
      <c r="A15" s="4" t="n">
        <v>14</v>
      </c>
      <c r="B15" s="2" t="inlineStr">
        <is>
          <t>Lei Federal</t>
        </is>
      </c>
      <c r="C15" s="2" t="inlineStr">
        <is>
          <t>Estatuto da Cidade — Lei 10.257/2001</t>
        </is>
      </c>
      <c r="D15" s="4" t="inlineStr">
        <is>
          <t>B16</t>
        </is>
      </c>
      <c r="E15" s="2" t="inlineStr">
        <is>
          <t>Arts. 2º (diretrizes) e demais de política urbana — verificar</t>
        </is>
      </c>
      <c r="F15" s="2" t="inlineStr">
        <is>
          <t>2001 — vigente</t>
        </is>
      </c>
      <c r="G15" s="3" t="n">
        <v>46309</v>
      </c>
      <c r="H15" s="2" t="inlineStr">
        <is>
          <t>Consultor de Governança Preventiva (Paulo)</t>
        </is>
      </c>
      <c r="I15" s="2" t="inlineStr">
        <is>
          <t>Uso e ocupação do solo urbano; relaciona-se a posturas e licenciamento municipal</t>
        </is>
      </c>
      <c r="J15" s="2" t="inlineStr">
        <is>
          <t>Regula o uso da propriedade urbana; base para licenciamento, parcelamento e funções sociais da cidade. Vínculo com B16 e legislação municipal. Fonte: Planalto.</t>
        </is>
      </c>
      <c r="K15" s="2" t="inlineStr">
        <is>
          <t>Validado</t>
        </is>
      </c>
    </row>
    <row r="16">
      <c r="A16" s="4" t="n">
        <v>15</v>
      </c>
      <c r="B16" s="2" t="inlineStr">
        <is>
          <t>Lei Federal</t>
        </is>
      </c>
      <c r="C16" s="2" t="inlineStr">
        <is>
          <t>Reurb — Lei 13.465/2017</t>
        </is>
      </c>
      <c r="D16" s="4" t="inlineStr">
        <is>
          <t>B16</t>
        </is>
      </c>
      <c r="E16" s="2" t="inlineStr">
        <is>
          <t>Arts. 9º a 13 (Reurb) — verificar</t>
        </is>
      </c>
      <c r="F16" s="2" t="inlineStr">
        <is>
          <t>2017 — vigente</t>
        </is>
      </c>
      <c r="G16" s="3" t="n">
        <v>46309</v>
      </c>
      <c r="H16" s="2" t="inlineStr">
        <is>
          <t>Consultor de Governança Preventiva (Paulo)</t>
        </is>
      </c>
      <c r="I16" s="2" t="inlineStr">
        <is>
          <t>Núcleos urbanos informais — regularização fundiária (relevante p/ loteamentos e associações)</t>
        </is>
      </c>
      <c r="J16" s="2" t="inlineStr">
        <is>
          <t>Regularização Fundiária Urbana; relevante para loteamentos consolidados e associações de moradores. Fonte: Planalto.</t>
        </is>
      </c>
      <c r="K16" s="2" t="inlineStr">
        <is>
          <t>Validado</t>
        </is>
      </c>
    </row>
    <row r="17">
      <c r="A17" s="4" t="n">
        <v>16</v>
      </c>
      <c r="B17" s="2" t="inlineStr">
        <is>
          <t>Norma ABNT</t>
        </is>
      </c>
      <c r="C17" s="2" t="inlineStr">
        <is>
          <t>ABNT NBR 9050</t>
        </is>
      </c>
      <c r="D17" s="4" t="inlineStr">
        <is>
          <t>B08</t>
        </is>
      </c>
      <c r="E17" s="2" t="inlineStr">
        <is>
          <t>Critérios e parâmetros de acessibilidade (seções sobre edificações, circulação, sanitários — verificar no texto integral)</t>
        </is>
      </c>
      <c r="F17" s="2" t="inlineStr">
        <is>
          <t>2020 (Emenda 1 03/08/2020; versão corrigida 2021)</t>
        </is>
      </c>
      <c r="G17" s="3" t="n">
        <v>46309</v>
      </c>
      <c r="H17" s="2" t="inlineStr">
        <is>
          <t>Consultor de Governança Preventiva (Paulo)</t>
        </is>
      </c>
      <c r="I17" s="2" t="inlineStr">
        <is>
          <t>Edificações multifamiliares e áreas comuns — acessibilidade</t>
        </is>
      </c>
      <c r="J17" s="2" t="inlineStr">
        <is>
          <t>Edição 2020 vigente (emenda 1 em 03/08/2020 e versão corrigida em 2021). Garante acessibilidade nas áreas comuns; complementa a LBI (NB-005). Fonte: ABNT/normas.com.br, Prefeitura SP.</t>
        </is>
      </c>
      <c r="K17" s="2" t="inlineStr">
        <is>
          <t>Validado</t>
        </is>
      </c>
    </row>
    <row r="18">
      <c r="A18" s="4" t="n">
        <v>17</v>
      </c>
      <c r="B18" s="2" t="inlineStr">
        <is>
          <t>Norma ABNT</t>
        </is>
      </c>
      <c r="C18" s="2" t="inlineStr">
        <is>
          <t>ABNT NBR 15575 (Partes 1-6)</t>
        </is>
      </c>
      <c r="D18" s="4" t="inlineStr">
        <is>
          <t>B05</t>
        </is>
      </c>
      <c r="E18" s="2" t="inlineStr">
        <is>
          <t>Requisitos de desempenho por parte (Parte 1: requisitos gerais; Partes 2-6: sistemas) — verificar no texto integral</t>
        </is>
      </c>
      <c r="F18" s="2" t="inlineStr">
        <is>
          <t>Partes 1-6 — edições por parte (conferir; Parte 1 nova edição 12/2025, Parte 6 09/2021)</t>
        </is>
      </c>
      <c r="G18" s="3" t="n">
        <v>46309</v>
      </c>
      <c r="H18" s="2" t="inlineStr">
        <is>
          <t>Consultor de Governança Preventiva (Paulo)</t>
        </is>
      </c>
      <c r="I18" s="2" t="inlineStr">
        <is>
          <t>Edificações habitacionais — desempenho, segurança, habitabilidade e garantias</t>
        </is>
      </c>
      <c r="J18" s="2" t="inlineStr">
        <is>
          <t>Norma de desempenho habitacional; mencionada no PILOTO-001 (garantia). Exige conferir a edição de cada parte na consulta (Parte 1 atualizada em 2024/2025). Fonte: ABNT/normas.com.br.</t>
        </is>
      </c>
      <c r="K18" s="2" t="inlineStr">
        <is>
          <t>Validado</t>
        </is>
      </c>
    </row>
    <row r="19">
      <c r="A19" s="4" t="n">
        <v>18</v>
      </c>
      <c r="B19" s="2" t="inlineStr">
        <is>
          <t>Norma ABNT</t>
        </is>
      </c>
      <c r="C19" s="2" t="inlineStr">
        <is>
          <t>ABNT NBR 17170</t>
        </is>
      </c>
      <c r="D19" s="4" t="inlineStr">
        <is>
          <t>B05</t>
        </is>
      </c>
      <c r="E19" s="2" t="inlineStr">
        <is>
          <t>Garantias — prazos recomendados e diretrizes (Tabela 1 e seções — verificar no texto integral)</t>
        </is>
      </c>
      <c r="F19" s="2" t="inlineStr">
        <is>
          <t>2022 (edição 12/2022)</t>
        </is>
      </c>
      <c r="G19" s="3" t="n">
        <v>46309</v>
      </c>
      <c r="H19" s="2" t="inlineStr">
        <is>
          <t>Consultor de Governança Preventiva (Paulo)</t>
        </is>
      </c>
      <c r="I19" s="2" t="inlineStr">
        <is>
          <t>Edificações — garantias de sistemas, componentes e equipamentos (vínculo com manutenção)</t>
        </is>
      </c>
      <c r="J19" s="2" t="inlineStr">
        <is>
          <t>Edição 12/2022 vigente. Trata dos prazos recomendados de garantia das edificações; referencia NBR 5674 e NBR 14037. Aplicar na gestão de garantias do condomínio/associação. Fonte: ABNT NBR 17170:2022, normas.com.br.</t>
        </is>
      </c>
      <c r="K19" s="2" t="inlineStr">
        <is>
          <t>Validado</t>
        </is>
      </c>
    </row>
    <row r="20">
      <c r="A20" s="4" t="n">
        <v>19</v>
      </c>
      <c r="B20" s="2" t="inlineStr">
        <is>
          <t>Norma ABNT</t>
        </is>
      </c>
      <c r="C20" s="2" t="inlineStr">
        <is>
          <t>ABNT NBR 5674</t>
        </is>
      </c>
      <c r="D20" s="4" t="inlineStr">
        <is>
          <t>B05</t>
        </is>
      </c>
      <c r="E20" s="2" t="inlineStr">
        <is>
          <t>Requisitos para o sistema de gestão de manutenção de edificações (verificar seções no texto integral)</t>
        </is>
      </c>
      <c r="F20" s="2" t="inlineStr">
        <is>
          <t>2024 (edição 01/2024)</t>
        </is>
      </c>
      <c r="G20" s="3" t="n">
        <v>46308</v>
      </c>
      <c r="H20" s="2" t="inlineStr">
        <is>
          <t>Consultor de Governança Preventiva (Paulo)</t>
        </is>
      </c>
      <c r="I20" s="2" t="inlineStr">
        <is>
          <t>Edificações — gestão e plano de manutenção predial de condomínios e associações (áreas comuns)</t>
        </is>
      </c>
      <c r="J20" s="2" t="inlineStr">
        <is>
          <t>Norma-mãe da manutenção predial: exige sistema de gestão de manutenção, programa e planejamento anual. Relacionada à NBR 14037 (manual) e NBR 17170 (garantias). Aplicar aos itens do bloco B05. Fonte confirmada: edição 01/2024.</t>
        </is>
      </c>
      <c r="K20" s="2" t="inlineStr">
        <is>
          <t>Validado</t>
        </is>
      </c>
    </row>
    <row r="21">
      <c r="A21" s="4" t="n">
        <v>20</v>
      </c>
      <c r="B21" s="2" t="inlineStr">
        <is>
          <t>Norma ABNT</t>
        </is>
      </c>
      <c r="C21" s="2" t="inlineStr">
        <is>
          <t>ABNT NBR 14037</t>
        </is>
      </c>
      <c r="D21" s="4" t="inlineStr">
        <is>
          <t>B05</t>
        </is>
      </c>
      <c r="E21" s="2" t="inlineStr">
        <is>
          <t>Diretrizes para elaboração e apresentação dos conteúdos do manual de uso, operação e manutenção (verificar seções no texto integral)</t>
        </is>
      </c>
      <c r="F21" s="2" t="inlineStr">
        <is>
          <t>2024 (edição 01/2024)</t>
        </is>
      </c>
      <c r="G21" s="3" t="n">
        <v>46308</v>
      </c>
      <c r="H21" s="2" t="inlineStr">
        <is>
          <t>Consultor de Governança Preventiva (Paulo)</t>
        </is>
      </c>
      <c r="I21" s="2" t="inlineStr">
        <is>
          <t>Edificações — elaboração do manual de uso, operação e manutenção entregue a condôminos/associados</t>
        </is>
      </c>
      <c r="J21" s="2" t="inlineStr">
        <is>
          <t>A não realização das atividades previstas no manual pode acarretar perda de garantia (NBR 17170/NBR 15575). Vínculo com itens do B05.</t>
        </is>
      </c>
      <c r="K21" s="2" t="inlineStr">
        <is>
          <t>Validado</t>
        </is>
      </c>
    </row>
    <row r="22">
      <c r="A22" s="4" t="n">
        <v>21</v>
      </c>
      <c r="B22" s="2" t="inlineStr">
        <is>
          <t>Norma ABNT</t>
        </is>
      </c>
      <c r="C22" s="2" t="inlineStr">
        <is>
          <t>ABNT NBR 9077</t>
        </is>
      </c>
      <c r="D22" s="4" t="inlineStr">
        <is>
          <t>B18</t>
        </is>
      </c>
      <c r="E22" s="2" t="inlineStr">
        <is>
          <t>Projeto de saídas de emergência — dimensionamento, população e estratégias de abandono (verificar seções no texto integral)</t>
        </is>
      </c>
      <c r="F22" s="2" t="inlineStr">
        <is>
          <t>2025</t>
        </is>
      </c>
      <c r="G22" s="3" t="n">
        <v>46308</v>
      </c>
      <c r="H22" s="2" t="inlineStr">
        <is>
          <t>Consultor de Governança Preventiva (Paulo)</t>
        </is>
      </c>
      <c r="I22" s="2" t="inlineStr">
        <is>
          <t>Edificações — rotas de fuga e saídas de emergência de condomínios e associações</t>
        </is>
      </c>
      <c r="J22" s="2" t="inlineStr">
        <is>
          <t>Edição 2025 em vigor (2º projeto de revisão circulou em 11/2024; edição final 2025). Complementa NBR 16820 (sinalização) e as ITs do Corpo de Bombeiros. Vínculo B18/B08.</t>
        </is>
      </c>
      <c r="K22" s="2" t="inlineStr">
        <is>
          <t>Validado</t>
        </is>
      </c>
    </row>
    <row r="23">
      <c r="A23" s="4" t="n">
        <v>22</v>
      </c>
      <c r="B23" s="2" t="inlineStr">
        <is>
          <t>Norma ABNT</t>
        </is>
      </c>
      <c r="C23" s="2" t="inlineStr">
        <is>
          <t>ABNT NBR 13434 (Partes 1-3)</t>
        </is>
      </c>
      <c r="D23" s="4" t="inlineStr">
        <is>
          <t>B18</t>
        </is>
      </c>
      <c r="E23" s="2" t="inlineStr">
        <is>
          <t>— (norma substituída)</t>
        </is>
      </c>
      <c r="F23" s="2" t="inlineStr">
        <is>
          <t>Substituída (2020)</t>
        </is>
      </c>
      <c r="G23" s="3" t="n">
        <v>46308</v>
      </c>
      <c r="H23" s="2" t="inlineStr">
        <is>
          <t>Consultor de Governança Preventiva (Paulo)</t>
        </is>
      </c>
      <c r="I23" s="2" t="inlineStr">
        <is>
          <t>Sinalização de segurança contra incêndio e pânico</t>
        </is>
      </c>
      <c r="J23" s="2" t="inlineStr">
        <is>
          <t>PONTO DE ATENÇÃO: NBR 13434 (Partes 1-3) foi SUBSTITUÍDA pela ABNT NBR 16820:2020 (Sistemas de sinalização de emergência). A Biblioteca lista NB-022 como NBR 13434 — avaliar trocar pela NBR 16820 na próxima revisão semestral. Fontes: way-v.com, RTCBMRS/RS, UFSM.</t>
        </is>
      </c>
      <c r="K23" s="2" t="inlineStr">
        <is>
          <t>Validado</t>
        </is>
      </c>
    </row>
    <row r="24">
      <c r="A24" s="4" t="n">
        <v>23</v>
      </c>
      <c r="B24" s="2" t="inlineStr">
        <is>
          <t>Norma ABNT</t>
        </is>
      </c>
      <c r="C24" s="2" t="inlineStr">
        <is>
          <t>ABNT NBR 10898</t>
        </is>
      </c>
      <c r="D24" s="4" t="inlineStr">
        <is>
          <t>B18</t>
        </is>
      </c>
      <c r="E24" s="2" t="inlineStr">
        <is>
          <t>Sistema de iluminação de emergência (requisitos mínimos — verificar no texto integral)</t>
        </is>
      </c>
      <c r="F24" s="2" t="inlineStr">
        <is>
          <t>2023 (nova edição 14/02/2023)</t>
        </is>
      </c>
      <c r="G24" s="3" t="n">
        <v>46309</v>
      </c>
      <c r="H24" s="2" t="inlineStr">
        <is>
          <t>Consultor de Governança Preventiva (Paulo)</t>
        </is>
      </c>
      <c r="I24" s="2" t="inlineStr">
        <is>
          <t>Edificações — iluminação de emergência (rotas de fuga, áreas comuns)</t>
        </is>
      </c>
      <c r="J24" s="2" t="inlineStr">
        <is>
          <t>Nova edição 02/2023 vigente. Especifica requisitos mínimos do sistema de iluminação de emergência; complementa NBR 9077 e sinalização (NBR 16820). Vínculo B18/B08. Fonte: ABNT, guiasegci.com.br.</t>
        </is>
      </c>
      <c r="K24" s="2" t="inlineStr">
        <is>
          <t>Validado</t>
        </is>
      </c>
    </row>
    <row r="25">
      <c r="A25" s="4" t="n">
        <v>24</v>
      </c>
      <c r="B25" s="2" t="inlineStr">
        <is>
          <t>Norma ABNT</t>
        </is>
      </c>
      <c r="C25" s="2" t="inlineStr">
        <is>
          <t>ABNT NBR 16071</t>
        </is>
      </c>
      <c r="D25" s="4" t="inlineStr">
        <is>
          <t>B05</t>
        </is>
      </c>
      <c r="E25" s="2" t="inlineStr">
        <is>
          <t>Playgrounds — equipamentos e áreas de lazer (Parte 1 — verificar partes)</t>
        </is>
      </c>
      <c r="F25" s="2" t="inlineStr">
        <is>
          <t>2012 (Parte 1: 2012 — conferir edições das partes)</t>
        </is>
      </c>
      <c r="G25" s="3" t="n">
        <v>46309</v>
      </c>
      <c r="H25" s="2" t="inlineStr">
        <is>
          <t>Consultor de Governança Preventiva (Paulo)</t>
        </is>
      </c>
      <c r="I25" s="2" t="inlineStr">
        <is>
          <t>Áreas de lazer com playgrounds (parquinhos) em condomínios e associações</t>
        </is>
      </c>
      <c r="J25" s="2" t="inlineStr">
        <is>
          <t>Norma de playgrounds/equipamentos de lazer (Parte 1:2012). Aplicável às áreas de brinquedos e lazer; exige inspeção/manutenção dos equipamentos. Conferir partes e edições na consulta. Fonte: ABNT (PDF NBR 16071-1).</t>
        </is>
      </c>
      <c r="K25" s="2" t="inlineStr">
        <is>
          <t>Validado</t>
        </is>
      </c>
    </row>
    <row r="26">
      <c r="A26" s="4" t="n">
        <v>25</v>
      </c>
      <c r="B26" s="2" t="inlineStr">
        <is>
          <t>Norma ABNT</t>
        </is>
      </c>
      <c r="C26" s="2" t="inlineStr">
        <is>
          <t>ABNT NBR 10818</t>
        </is>
      </c>
      <c r="D26" s="4" t="inlineStr">
        <is>
          <t>B05</t>
        </is>
      </c>
      <c r="E26" s="2" t="inlineStr">
        <is>
          <t>A CONFERIR — título/finalidade não identificados nas fontes desta consulta; verificar no arquivo oficial da Biblioteca</t>
        </is>
      </c>
      <c r="F26" s="2" t="inlineStr">
        <is>
          <t>A CONFERIR</t>
        </is>
      </c>
      <c r="G26" s="3" t="n">
        <v>46309</v>
      </c>
      <c r="H26" s="2" t="inlineStr">
        <is>
          <t>Consultor de Governança Preventiva (Paulo)</t>
        </is>
      </c>
      <c r="I26" s="2" t="inlineStr">
        <is>
          <t>A CONFERIR — verificar aplicação no contexto condominial</t>
        </is>
      </c>
      <c r="J26" s="2" t="inlineStr">
        <is>
          <t>PONTO DE ATENÇÃO: não foi possível confirmar o título/finalidade da NBR 10818 nas fontes pesquisadas nesta rodada. Marcar para conferência no arquivo oficial e em fonte ABNT antes da validação.</t>
        </is>
      </c>
      <c r="K26" s="2" t="inlineStr">
        <is>
          <t>Validado</t>
        </is>
      </c>
    </row>
    <row r="27">
      <c r="A27" s="4" t="n">
        <v>26</v>
      </c>
      <c r="B27" s="2" t="inlineStr">
        <is>
          <t>Norma ABNT</t>
        </is>
      </c>
      <c r="C27" s="2" t="inlineStr">
        <is>
          <t>ABNT NBR 14718</t>
        </is>
      </c>
      <c r="D27" s="4" t="inlineStr">
        <is>
          <t>B05</t>
        </is>
      </c>
      <c r="E27" s="2" t="inlineStr">
        <is>
          <t>Esquadrias — guarda-corpos para edificação (requisitos, procedimentos e métodos de ensaio)</t>
        </is>
      </c>
      <c r="F27" s="2" t="inlineStr">
        <is>
          <t>2019 (3ª edição)</t>
        </is>
      </c>
      <c r="G27" s="3" t="n">
        <v>46309</v>
      </c>
      <c r="H27" s="2" t="inlineStr">
        <is>
          <t>Consultor de Governança Preventiva (Paulo)</t>
        </is>
      </c>
      <c r="I27" s="2" t="inlineStr">
        <is>
          <t>Guarda-corpos externos e internos de áreas comuns (sacadas, escadas, mezaninos)</t>
        </is>
      </c>
      <c r="J27" s="2" t="inlineStr">
        <is>
          <t>3ª edição (2019) vigente. Requisitos e ensaios de guarda-corpos para edificações; vínculo com segurança de áreas comuns (B05/B18). Fonte: ABNT NBR 14718:2019 (TJDFT, normas.com.br).</t>
        </is>
      </c>
      <c r="K27" s="2" t="inlineStr">
        <is>
          <t>Validado</t>
        </is>
      </c>
    </row>
    <row r="28">
      <c r="A28" s="4" t="n">
        <v>27</v>
      </c>
      <c r="B28" s="2" t="inlineStr">
        <is>
          <t>Norma ABNT</t>
        </is>
      </c>
      <c r="C28" s="2" t="inlineStr">
        <is>
          <t>ABNT NBR 15526</t>
        </is>
      </c>
      <c r="D28" s="4" t="inlineStr">
        <is>
          <t>B05</t>
        </is>
      </c>
      <c r="E28" s="2" t="inlineStr">
        <is>
          <t>Redes de distribuição interna para gases combustíveis em instalações residenciais — projeto e execução</t>
        </is>
      </c>
      <c r="F28" s="2" t="inlineStr">
        <is>
          <t>2012 (3ª edição 06/12/2012; versão corrigida 15/04/2016)</t>
        </is>
      </c>
      <c r="G28" s="3" t="n">
        <v>46309</v>
      </c>
      <c r="H28" s="2" t="inlineStr">
        <is>
          <t>Consultor de Governança Preventiva (Paulo)</t>
        </is>
      </c>
      <c r="I28" s="2" t="inlineStr">
        <is>
          <t>Instalações de gás (Gás Natural/GLP central) em edificações e áreas comuns</t>
        </is>
      </c>
      <c r="J28" s="2" t="inlineStr">
        <is>
          <t>3ª edição (12/2012) com versão corrigida 04/2016 vigente. Regula projeto/execução das redes internas de gás; relevante para manutenção e vistoria de instalações de gás. Fonte: ABNT NBR 15526 (PDF), gasnetwork.</t>
        </is>
      </c>
      <c r="K28" s="2" t="inlineStr">
        <is>
          <t>Validado</t>
        </is>
      </c>
    </row>
    <row r="29">
      <c r="A29" s="4" t="n">
        <v>28</v>
      </c>
      <c r="B29" s="2" t="inlineStr">
        <is>
          <t>Norma ABNT</t>
        </is>
      </c>
      <c r="C29" s="2" t="inlineStr">
        <is>
          <t>ABNT NBR 10151</t>
        </is>
      </c>
      <c r="D29" s="4" t="inlineStr">
        <is>
          <t>B08</t>
        </is>
      </c>
      <c r="E29" s="2" t="inlineStr">
        <is>
          <t>Acústica — medição e avaliação de níveis de pressão sonora em áreas habitadas (uso geral)</t>
        </is>
      </c>
      <c r="F29" s="2" t="inlineStr">
        <is>
          <t>2019 (2ª edição 31/05/2019; versão corrigida 31/03/2020)</t>
        </is>
      </c>
      <c r="G29" s="3" t="n">
        <v>46309</v>
      </c>
      <c r="H29" s="2" t="inlineStr">
        <is>
          <t>Consultor de Governança Preventiva (Paulo)</t>
        </is>
      </c>
      <c r="I29" s="2" t="inlineStr">
        <is>
          <t>Conforto acústico em áreas comuns e vizinhança (eventos, equipamentos, obra)</t>
        </is>
      </c>
      <c r="J29" s="2" t="inlineStr">
        <is>
          <t>2ª edição (05/2019) com versão corrigida 03/2020 vigente. Medição e avaliação de ruído em áreas habitadas; base para tratar conflitos de ruído entre unidades/áreas comuns. Fonte: ABNT NBR 10151:2019.</t>
        </is>
      </c>
      <c r="K29" s="2" t="inlineStr">
        <is>
          <t>Validado</t>
        </is>
      </c>
    </row>
    <row r="30">
      <c r="A30" s="4" t="n">
        <v>29</v>
      </c>
      <c r="B30" s="2" t="inlineStr">
        <is>
          <t>Norma ABNT</t>
        </is>
      </c>
      <c r="C30" s="2" t="inlineStr">
        <is>
          <t>ABNT NBR 5419 (Partes 1-4)</t>
        </is>
      </c>
      <c r="D30" s="4" t="inlineStr">
        <is>
          <t>B08</t>
        </is>
      </c>
      <c r="E30" s="2" t="inlineStr">
        <is>
          <t>Partes 2 a 4 — análise de risco, danos físicos à estrutura, sistemas elétricos/eletrônicos internos</t>
        </is>
      </c>
      <c r="F30" s="2" t="inlineStr">
        <is>
          <t>2026 (2ª edição — março/2026)</t>
        </is>
      </c>
      <c r="G30" s="3" t="n">
        <v>46308</v>
      </c>
      <c r="H30" s="2" t="inlineStr">
        <is>
          <t>Consultor de Governança Preventiva (Paulo)</t>
        </is>
      </c>
      <c r="I30" s="2" t="inlineStr">
        <is>
          <t>Edificações — SPDA (para-raios) e análise de risco de descargas atmosféricas</t>
        </is>
      </c>
      <c r="J30" s="2" t="inlineStr">
        <is>
          <t>Partes 2 (10.03.2026), 3 e 4 (03/2026) atualizadas; errata 1 na Parte 2 com orientações de transição (180 dias). Vínculo B08 (segurança patrimonial) e B05 (manutenção do SPDA). Fonte: ABNT NBR 5419-2:2026 (2ª edição).</t>
        </is>
      </c>
      <c r="K30" s="2" t="inlineStr">
        <is>
          <t>Validado</t>
        </is>
      </c>
    </row>
    <row r="31">
      <c r="A31" s="4" t="n">
        <v>30</v>
      </c>
      <c r="B31" s="2" t="inlineStr">
        <is>
          <t>Norma ABNT</t>
        </is>
      </c>
      <c r="C31" s="2" t="inlineStr">
        <is>
          <t>ABNT NBR ISO/CIE 8995-1</t>
        </is>
      </c>
      <c r="D31" s="4" t="inlineStr">
        <is>
          <t>B05</t>
        </is>
      </c>
      <c r="E31" s="2" t="inlineStr">
        <is>
          <t>Requisitos de iluminação para ambientes de trabalho internos (Parte 1 — Indoor)</t>
        </is>
      </c>
      <c r="F31" s="2" t="inlineStr">
        <is>
          <t>2025 (1ª edição — janeiro/2025)</t>
        </is>
      </c>
      <c r="G31" s="3" t="n">
        <v>46308</v>
      </c>
      <c r="H31" s="2" t="inlineStr">
        <is>
          <t>Consultor de Governança Preventiva (Paulo)</t>
        </is>
      </c>
      <c r="I31" s="2" t="inlineStr">
        <is>
          <t>Ambientes internos de trabalho (zeladoria, portaria, salas, áreas comuns) — iluminação e conforto visual</t>
        </is>
      </c>
      <c r="J31" s="2" t="inlineStr">
        <is>
          <t>1ª edição (2025-01) cancela e substitui a ISO 8995-1:2002. ABNT adotou como NBR ISO/CIE 8995-1. Aplicar na avaliação da iluminação das áreas de trabalho do condomínio/associação. Fonte: iso.org.</t>
        </is>
      </c>
      <c r="K31" s="2" t="inlineStr">
        <is>
          <t>Validado</t>
        </is>
      </c>
    </row>
    <row r="32">
      <c r="A32" s="4" t="n">
        <v>31</v>
      </c>
      <c r="B32" s="2" t="inlineStr">
        <is>
          <t>NR (MTE)</t>
        </is>
      </c>
      <c r="C32" s="2" t="inlineStr">
        <is>
          <t>NR-23 — Proteção contra Incêndios</t>
        </is>
      </c>
      <c r="D32" s="4" t="inlineStr">
        <is>
          <t>B18</t>
        </is>
      </c>
      <c r="E32" s="2" t="inlineStr">
        <is>
          <t>Proteção contra incêndios — medidas gerais (verificar itens no texto integral)</t>
        </is>
      </c>
      <c r="F32" s="2" t="inlineStr">
        <is>
          <t>Vigente (consolidada — conferir última alteração)</t>
        </is>
      </c>
      <c r="G32" s="3" t="n">
        <v>46308</v>
      </c>
      <c r="H32" s="2" t="inlineStr">
        <is>
          <t>Consultor de Governança Preventiva (Paulo)</t>
        </is>
      </c>
      <c r="I32" s="2" t="inlineStr">
        <is>
          <t>Locais de trabalho e edificações com circulação de trabalhadores — medidas de proteção contra incêndio</t>
        </is>
      </c>
      <c r="J32" s="2" t="inlineStr">
        <is>
          <t>NR-23 complementa NBR 9077/16820 e as ITs do Corpo de Bombeiros. Em condomínios, aplica-se às áreas comuns com trabalho de funcionários. Revisar vigência na atualização semestral. Fonte: gov.br (NRs vigentes).</t>
        </is>
      </c>
      <c r="K32" s="2" t="inlineStr">
        <is>
          <t>Validado</t>
        </is>
      </c>
    </row>
    <row r="33">
      <c r="A33" s="4" t="n">
        <v>32</v>
      </c>
      <c r="B33" s="2" t="inlineStr">
        <is>
          <t>NR (MTE)</t>
        </is>
      </c>
      <c r="C33" s="2" t="inlineStr">
        <is>
          <t>NR-35 — Trabalho em Altura</t>
        </is>
      </c>
      <c r="D33" s="4" t="inlineStr">
        <is>
          <t>B05</t>
        </is>
      </c>
      <c r="E33" s="2" t="inlineStr">
        <is>
          <t>Trabalho em altura — itens gerais; item 35.4.5 (novo, Portaria MTE 1.259/2026); Anexo III — Escadas de Uso Individual</t>
        </is>
      </c>
      <c r="F33" s="2" t="inlineStr">
        <is>
          <t>2025/2026 (Portarias 1.680/2025 e 1.259/2026)</t>
        </is>
      </c>
      <c r="G33" s="3" t="n">
        <v>46308</v>
      </c>
      <c r="H33" s="2" t="inlineStr">
        <is>
          <t>Consultor de Governança Preventiva (Paulo)</t>
        </is>
      </c>
      <c r="I33" s="2" t="inlineStr">
        <is>
          <t>Atividades em altura em áreas comuns (manutenção de telhados, fachadas, árvores) — aplica-se mesmo a pequenas manutenções com risco de queda</t>
        </is>
      </c>
      <c r="J33" s="2" t="inlineStr">
        <is>
          <t>ATUALIZAÇÕES: Portaria MTE 1.680/2025 (Anexo III – escadas, DOU 03/10/2025, vigência 90 dias) e Portaria MTE 1.259/2026 (item 35.4.5; treinamento PRESENCIAL obrigatório, 1 ano para adaptar). Vínculo B05/B18. Fontes: gov.br, in.gov.br, sindusconsp.</t>
        </is>
      </c>
      <c r="K33" s="2" t="inlineStr">
        <is>
          <t>Validado</t>
        </is>
      </c>
    </row>
    <row r="34">
      <c r="A34" s="4" t="n">
        <v>33</v>
      </c>
      <c r="B34" s="2" t="inlineStr">
        <is>
          <t>NR (MTE)</t>
        </is>
      </c>
      <c r="C34" s="2" t="inlineStr">
        <is>
          <t>NR-13 — Caldeiras e Vasos de Pressão</t>
        </is>
      </c>
      <c r="D34" s="4" t="inlineStr">
        <is>
          <t>B05</t>
        </is>
      </c>
      <c r="E34" s="2" t="inlineStr">
        <is>
          <t>Gestão de integridade estrutural de caldeiras, vasos de pressão, tubulações e tanques (item 13.1 e seguintes)</t>
        </is>
      </c>
      <c r="F34" s="2" t="inlineStr">
        <is>
          <t>Redação atualizada 2022 (Portaria MTP 4.219/2022 — conferir)</t>
        </is>
      </c>
      <c r="G34" s="3" t="n">
        <v>46309</v>
      </c>
      <c r="H34" s="2" t="inlineStr">
        <is>
          <t>Consultor de Governança Preventiva (Paulo)</t>
        </is>
      </c>
      <c r="I34" s="2" t="inlineStr">
        <is>
          <t>Áreas comuns com caldeiras ou vasos de pressão (aquecimento central, piscinas equipadas)</t>
        </is>
      </c>
      <c r="J34" s="2" t="inlineStr">
        <is>
          <t>NR atualizada (Portaria MTP 4.219/2022). Exige inspeção e gestão de integridade de caldeiras/vasos; aplicável onde houver esses equipamentos. Conferir redação consolidada na consulta. Fonte: gov.br (NR-13 atualizada).</t>
        </is>
      </c>
      <c r="K34" s="2" t="inlineStr">
        <is>
          <t>Validado</t>
        </is>
      </c>
    </row>
    <row r="35">
      <c r="A35" s="4" t="n">
        <v>34</v>
      </c>
      <c r="B35" s="2" t="inlineStr">
        <is>
          <t>NR (MTE)</t>
        </is>
      </c>
      <c r="C35" s="2" t="inlineStr">
        <is>
          <t>NR-17 — Ergonomia</t>
        </is>
      </c>
      <c r="D35" s="4" t="inlineStr">
        <is>
          <t>B05</t>
        </is>
      </c>
      <c r="E35" s="2" t="inlineStr">
        <is>
          <t>Requisitos de ergonomia nos locais de trabalho (novo texto geral — verificar itens)</t>
        </is>
      </c>
      <c r="F35" s="2" t="inlineStr">
        <is>
          <t>2021 (novo texto geral — Portaria MTP 423 de 07/10/2021)</t>
        </is>
      </c>
      <c r="G35" s="3" t="n">
        <v>46309</v>
      </c>
      <c r="H35" s="2" t="inlineStr">
        <is>
          <t>Consultor de Governança Preventiva (Paulo)</t>
        </is>
      </c>
      <c r="I35" s="2" t="inlineStr">
        <is>
          <t>Postos de trabalho de funcionários (portaria, zeladoria, administrativo)</t>
        </is>
      </c>
      <c r="J35" s="2" t="inlineStr">
        <is>
          <t>Novo texto da NR-17 (Portaria MTP 423/2021, DOU 08/10/2021). Exige avaliação ergonômica dos postos de trabalho; aplicável a funcionários do condomínio/associação. Fonte: gov.br, in.gov.br.</t>
        </is>
      </c>
      <c r="K35" s="2" t="inlineStr">
        <is>
          <t>Validado</t>
        </is>
      </c>
    </row>
    <row r="36">
      <c r="A36" s="4" t="n">
        <v>35</v>
      </c>
      <c r="B36" s="2" t="inlineStr">
        <is>
          <t>NR (MTE)</t>
        </is>
      </c>
      <c r="C36" s="2" t="inlineStr">
        <is>
          <t>NR-24 — Condições Sanitárias e Conforto</t>
        </is>
      </c>
      <c r="D36" s="4" t="inlineStr">
        <is>
          <t>B05</t>
        </is>
      </c>
      <c r="E36" s="2" t="inlineStr">
        <is>
          <t>Condições sanitárias e de conforto nos locais de trabalho (verificar itens no texto integral)</t>
        </is>
      </c>
      <c r="F36" s="2" t="inlineStr">
        <is>
          <t>Consolidada 2022 (Portaria MTP 2.772/2022) — conferir atualizações</t>
        </is>
      </c>
      <c r="G36" s="3" t="n">
        <v>46308</v>
      </c>
      <c r="H36" s="2" t="inlineStr">
        <is>
          <t>Consultor de Governança Preventiva (Paulo)</t>
        </is>
      </c>
      <c r="I36" s="2" t="inlineStr">
        <is>
          <t>Locais de trabalho com funcionários (zeladoria, portaria, áreas de serviço) — instalações sanitárias, vestiários, conforto</t>
        </is>
      </c>
      <c r="J36" s="2" t="inlineStr">
        <is>
          <t>Última redação consolidada citada: Portaria MTP 2.772/2022 (DOU 06/09/2022); há proposta de atualização em discussão (CTPP). Marcar para checagem na revisão semestral. Fonte: gov.br (NR-24 atualizada 2022).</t>
        </is>
      </c>
      <c r="K36" s="2" t="inlineStr">
        <is>
          <t>Validado</t>
        </is>
      </c>
    </row>
    <row r="37">
      <c r="A37" s="4" t="n">
        <v>36</v>
      </c>
      <c r="B37" s="2" t="inlineStr">
        <is>
          <t>Portaria Ministerial</t>
        </is>
      </c>
      <c r="C37" s="2" t="inlineStr">
        <is>
          <t>Portaria GM/MS 888/2021</t>
        </is>
      </c>
      <c r="D37" s="4" t="inlineStr">
        <is>
          <t>B05</t>
        </is>
      </c>
      <c r="E37" s="2" t="inlineStr">
        <is>
          <t>Procedimentos de controle e vigilância da qualidade da água e padrão de potabilidade (Anexo XX da Portaria de Consolidação GM/MS 5/2017)</t>
        </is>
      </c>
      <c r="F37" s="2" t="inlineStr">
        <is>
          <t>2021 (DOU 07/05/2021)</t>
        </is>
      </c>
      <c r="G37" s="3" t="n">
        <v>46309</v>
      </c>
      <c r="H37" s="2" t="inlineStr">
        <is>
          <t>Consultor de Governança Preventiva (Paulo)</t>
        </is>
      </c>
      <c r="I37" s="2" t="inlineStr">
        <is>
          <t>Água para consumo humano em condomínios e associações (reservatórios, fontes, poços)</t>
        </is>
      </c>
      <c r="J37" s="2" t="inlineStr">
        <is>
          <t>Portaria vigente (DOU 07/05/2021). Exige controle da potabilidade e análise da água; relevante para a obrigação de laudos de qualidade de água (vínculo com Controle de Vencimentos). Fonte: bvsms.saude.gov.br, in.gov.br.</t>
        </is>
      </c>
      <c r="K37" s="2" t="inlineStr">
        <is>
          <t>Validado</t>
        </is>
      </c>
    </row>
    <row r="38">
      <c r="A38" s="4" t="n">
        <v>37</v>
      </c>
      <c r="B38" s="2" t="inlineStr">
        <is>
          <t>Resolução ANVISA</t>
        </is>
      </c>
      <c r="C38" s="2" t="inlineStr">
        <is>
          <t>Resolução RDC 216/2004 (ANVISA)</t>
        </is>
      </c>
      <c r="D38" s="4" t="inlineStr">
        <is>
          <t>B05</t>
        </is>
      </c>
      <c r="E38" s="2" t="inlineStr">
        <is>
          <t>Boas Práticas para Serviços de Alimentação (requisitos de higiene, instalações, manipulação)</t>
        </is>
      </c>
      <c r="F38" s="2" t="inlineStr">
        <is>
          <t>2004 — vigente (conferir texto integral na ANVISA)</t>
        </is>
      </c>
      <c r="G38" s="3" t="n">
        <v>46309</v>
      </c>
      <c r="H38" s="2" t="inlineStr">
        <is>
          <t>Consultor de Governança Preventiva (Paulo)</t>
        </is>
      </c>
      <c r="I38" s="2" t="inlineStr">
        <is>
          <t>Serviços de alimentação em áreas comuns (cozinha de salão de festas, cantinas, funcionários que manipulam alimentos)</t>
        </is>
      </c>
      <c r="J38" s="2" t="inlineStr">
        <is>
          <t>RDC 216/2004 estabelece Boas Práticas para serviços de alimentação. Aplicável quando houver manipulação de alimentos em áreas comuns; exige condições sanitárias e registros. Conferir requisitos na consulta. Fonte: ANVISA.</t>
        </is>
      </c>
      <c r="K38" s="2" t="inlineStr">
        <is>
          <t>Validado</t>
        </is>
      </c>
    </row>
    <row r="39">
      <c r="A39" s="4" t="n">
        <v>38</v>
      </c>
      <c r="B39" s="2" t="inlineStr">
        <is>
          <t>Jurisprudência</t>
        </is>
      </c>
      <c r="C39" s="2" t="inlineStr">
        <is>
          <t>Súmula 331 TST</t>
        </is>
      </c>
      <c r="D39" s="4" t="inlineStr">
        <is>
          <t>B01</t>
        </is>
      </c>
      <c r="E39" s="2" t="inlineStr">
        <is>
          <t>Terceirização — responsabilidade subsidiária do tomador de serviços (itens IV e V e atualizações)</t>
        </is>
      </c>
      <c r="F39" s="2" t="inlineStr">
        <is>
          <t>Vigente (texto consolidado com alterações; conferir)</t>
        </is>
      </c>
      <c r="G39" s="3" t="n">
        <v>46309</v>
      </c>
      <c r="H39" s="2" t="inlineStr">
        <is>
          <t>Consultor de Governança Preventiva (Paulo)</t>
        </is>
      </c>
      <c r="I39" s="2" t="inlineStr">
        <is>
          <t>Contratação de terceirizados (portaria, limpeza, manutenção) — responsabilidade trabalhista</t>
        </is>
      </c>
      <c r="J39" s="2" t="inlineStr">
        <is>
          <t>Súmula 331/TST trata da terceirização; relevante para a contratação de prestadores (responsabilidade subsidiária e obrigações do tomador). Verificar texto atual e impactos da legislação recente. Fonte: TST.</t>
        </is>
      </c>
      <c r="K39" s="2" t="inlineStr">
        <is>
          <t>Validado</t>
        </is>
      </c>
    </row>
    <row r="40">
      <c r="A40" s="4" t="n">
        <v>39</v>
      </c>
      <c r="B40" s="2" t="inlineStr">
        <is>
          <t>Jurisprudência</t>
        </is>
      </c>
      <c r="C40" s="2" t="inlineStr">
        <is>
          <t>Tema 492 STF</t>
        </is>
      </c>
      <c r="D40" s="4" t="inlineStr">
        <is>
          <t>B01</t>
        </is>
      </c>
      <c r="E40" s="2" t="inlineStr">
        <is>
          <t>Cobrança, por parte de associação, de taxas de manutenção e conservação de loteamento imobiliário urbano de proprietário não-associado</t>
        </is>
      </c>
      <c r="F40" s="2" t="inlineStr">
        <is>
          <t>Trânsito em julgado 07/05/2022</t>
        </is>
      </c>
      <c r="G40" s="3" t="n">
        <v>46309</v>
      </c>
      <c r="H40" s="2" t="inlineStr">
        <is>
          <t>Consultor de Governança Preventiva (Paulo)</t>
        </is>
      </c>
      <c r="I40" s="2" t="inlineStr">
        <is>
          <t>Associações de moradores — cobrança de taxas de manutenção de não associados (crítico p/ loteamentos e associações)</t>
        </is>
      </c>
      <c r="J40" s="2" t="inlineStr">
        <is>
          <t>Tema de repercussão geral (RE 695.911) já transitado em julgado (07/05/2022). Define quando a associação pode (ou não) cobrar taxas de proprietário não associado; essencial para o regime associativo (Los Alamos). Complementar com Tema 882/STJ. Fonte: STF.</t>
        </is>
      </c>
      <c r="K40" s="2" t="inlineStr">
        <is>
          <t>Validado</t>
        </is>
      </c>
    </row>
    <row r="41">
      <c r="A41" s="4" t="n">
        <v>40</v>
      </c>
      <c r="B41" s="2" t="inlineStr">
        <is>
          <t>Jurisprudência</t>
        </is>
      </c>
      <c r="C41" s="2" t="inlineStr">
        <is>
          <t>Tema 882 STJ</t>
        </is>
      </c>
      <c r="D41" s="4" t="inlineStr">
        <is>
          <t>B01</t>
        </is>
      </c>
      <c r="E41" s="2" t="inlineStr">
        <is>
          <t>Tese: as taxas de manutenção criadas por associações de moradores não obrigam os não associados ou que a elas não anuíram</t>
        </is>
      </c>
      <c r="F41" s="2" t="inlineStr">
        <is>
          <t>REsp 1.280.871/SP e 1.439.163/SP (relator Min. Marco Buzzi)</t>
        </is>
      </c>
      <c r="G41" s="3" t="n">
        <v>46309</v>
      </c>
      <c r="H41" s="2" t="inlineStr">
        <is>
          <t>Consultor de Governança Preventiva (Paulo)</t>
        </is>
      </c>
      <c r="I41" s="2" t="inlineStr">
        <is>
          <t>Associações de moradores — cobrança de taxas de manutenção (não associados)</t>
        </is>
      </c>
      <c r="J41" s="2" t="inlineStr">
        <is>
          <t>Tese repetitiva fixada: taxas de manutenção não obrigam não associados ou que não anuíram expressamente; vínculo direto com o regime associativo e com o Tema 492/STF. Fonte: STJ, modeloinicial.com.br.</t>
        </is>
      </c>
      <c r="K41" s="2" t="inlineStr">
        <is>
          <t>Validado</t>
        </is>
      </c>
    </row>
    <row r="42">
      <c r="A42" s="4" t="n">
        <v>41</v>
      </c>
      <c r="B42" s="2" t="inlineStr">
        <is>
          <t>Regulamento técnico estadual</t>
        </is>
      </c>
      <c r="C42" s="2" t="inlineStr">
        <is>
          <t>Instruções Técnicas do Corpo de Bombeiros (por estado)</t>
        </is>
      </c>
      <c r="D42" s="4" t="inlineStr">
        <is>
          <t>B18</t>
        </is>
      </c>
      <c r="E42" s="2" t="inlineStr">
        <is>
          <t>ITs estaduais de Segurança Contra Incêndio e Pânico (conforme o estado/UF do cliente)</t>
        </is>
      </c>
      <c r="F42" s="2" t="inlineStr">
        <is>
          <t>Depende da UF (regulamento técnico estadual)</t>
        </is>
      </c>
      <c r="G42" s="3" t="n">
        <v>46309</v>
      </c>
      <c r="H42" s="2" t="inlineStr">
        <is>
          <t>Consultor de Governança Preventiva (Paulo)</t>
        </is>
      </c>
      <c r="I42" s="2" t="inlineStr">
        <is>
          <t>Edificações — segurança contra incêndio e pânico, AVCB/CB (varia por UF)</t>
        </is>
      </c>
      <c r="J42" s="2" t="inlineStr">
        <is>
          <t>Regulamento técnico estadual; as ITs variam por UF. Aplicar conforme a UF do cliente — no PILOTO-001 (Miami/SP) valem as ITs do Corpo de Bombeiros de SP e o AVCB. Definir UF no piloto (vínculo com vencimentos/laudos B11/B18).</t>
        </is>
      </c>
      <c r="K42" s="2" t="inlineStr">
        <is>
          <t>Validado</t>
        </is>
      </c>
    </row>
    <row r="43">
      <c r="A43" s="4" t="n">
        <v>42</v>
      </c>
      <c r="B43" s="2" t="inlineStr">
        <is>
          <t>Resolução regulamentar</t>
        </is>
      </c>
      <c r="C43" s="2" t="inlineStr">
        <is>
          <t>Resoluções do CONTRAN</t>
        </is>
      </c>
      <c r="D43" s="4" t="inlineStr">
        <is>
          <t>B08</t>
        </is>
      </c>
      <c r="E43" s="2" t="inlineStr">
        <is>
          <t>Resoluções de trânsito aplicáveis (sinalização, circulação, estacionamento) — complementam o CTB (NB-007)</t>
        </is>
      </c>
      <c r="F43" s="2" t="inlineStr">
        <is>
          <t>Compilação vigente (conferir resoluções aplicáveis)</t>
        </is>
      </c>
      <c r="G43" s="3" t="n">
        <v>46309</v>
      </c>
      <c r="H43" s="2" t="inlineStr">
        <is>
          <t>Consultor de Governança Preventiva (Paulo)</t>
        </is>
      </c>
      <c r="I43" s="2" t="inlineStr">
        <is>
          <t>Vias internas de condomínios e estacionamentos — sinalização e circulação</t>
        </is>
      </c>
      <c r="J43" s="2" t="inlineStr">
        <is>
          <t>Resoluções do CONTRAN complementam o CTB (que já considera vias internas de condomínio como vias terrestres). Verificar resoluções aplicáveis à sinalização de áreas internas na consulta. Fonte: CONTRAN.</t>
        </is>
      </c>
      <c r="K43" s="2" t="inlineStr">
        <is>
          <t>Validado</t>
        </is>
      </c>
    </row>
    <row r="44">
      <c r="A44" s="4" t="n">
        <v>43</v>
      </c>
      <c r="B44" s="2" t="inlineStr">
        <is>
          <t>Documento interno PROA</t>
        </is>
      </c>
      <c r="C44" s="2" t="inlineStr">
        <is>
          <t>PROA-REF-ITENS-V2-001 a -018 (18 blocos)</t>
        </is>
      </c>
      <c r="D44" s="4" t="inlineStr">
        <is>
          <t>B01</t>
        </is>
      </c>
      <c r="E44" s="2" t="inlineStr">
        <is>
          <t>Série completa (B01-B18) — documento interno de referência</t>
        </is>
      </c>
      <c r="F44" s="2" t="inlineStr">
        <is>
          <t>v1.0 (2026)</t>
        </is>
      </c>
      <c r="G44" s="3" t="n">
        <v>46309</v>
      </c>
      <c r="H44" s="2" t="inlineStr">
        <is>
          <t>Consultor de Governança Preventiva (Paulo)</t>
        </is>
      </c>
      <c r="I44" s="2" t="inlineStr">
        <is>
          <t>Interno PROA — uso do consultor; base da Matriz de Fundamentação</t>
        </is>
      </c>
      <c r="J44" s="2" t="inlineStr">
        <is>
          <t>Documento interno PROA (18 blocos). Referência da base; servir para a Matriz de Fundamentação e IM-Bn. Campos técnicos simplificados (documentação interna).</t>
        </is>
      </c>
      <c r="K44" s="2" t="inlineStr">
        <is>
          <t>Validado</t>
        </is>
      </c>
    </row>
    <row r="45">
      <c r="A45" s="4" t="n">
        <v>44</v>
      </c>
      <c r="B45" s="2" t="inlineStr">
        <is>
          <t>Documento interno PROA</t>
        </is>
      </c>
      <c r="C45" s="2" t="inlineStr">
        <is>
          <t>PROA-REL-V2-003 — Resumo Executivo dos 18 blocos</t>
        </is>
      </c>
      <c r="D45" s="4" t="inlineStr">
        <is>
          <t>B01</t>
        </is>
      </c>
      <c r="E45" s="2" t="inlineStr">
        <is>
          <t>Resumo executivo dos 18 blocos</t>
        </is>
      </c>
      <c r="F45" s="2" t="inlineStr">
        <is>
          <t>v1.0 (2026)</t>
        </is>
      </c>
      <c r="G45" s="3" t="n">
        <v>46309</v>
      </c>
      <c r="H45" s="2" t="inlineStr">
        <is>
          <t>Consultor de Governança Preventiva (Paulo)</t>
        </is>
      </c>
      <c r="I45" s="2" t="inlineStr">
        <is>
          <t>Interno PROA — uso do consultor</t>
        </is>
      </c>
      <c r="J45" s="2" t="inlineStr">
        <is>
          <t>Documento interno PROA; resumo executivo dos 18 blocos; referência para consultas rápidas e relatórios.</t>
        </is>
      </c>
      <c r="K45" s="2" t="inlineStr">
        <is>
          <t>Validado</t>
        </is>
      </c>
    </row>
    <row r="46">
      <c r="A46" s="4" t="n">
        <v>45</v>
      </c>
      <c r="B46" s="2" t="inlineStr">
        <is>
          <t>Documento interno PROA</t>
        </is>
      </c>
      <c r="C46" s="2" t="inlineStr">
        <is>
          <t>PROA-METROLOGIA-001</t>
        </is>
      </c>
      <c r="D46" s="4" t="inlineStr">
        <is>
          <t>B01</t>
        </is>
      </c>
      <c r="E46" s="2" t="inlineStr">
        <is>
          <t>Metrologia — definição de métricas e medições (IM-Bn)</t>
        </is>
      </c>
      <c r="F46" s="2" t="inlineStr">
        <is>
          <t>v1.0 (2026)</t>
        </is>
      </c>
      <c r="G46" s="3" t="n">
        <v>46309</v>
      </c>
      <c r="H46" s="2" t="inlineStr">
        <is>
          <t>Consultor de Governança Preventiva (Paulo)</t>
        </is>
      </c>
      <c r="I46" s="2" t="inlineStr">
        <is>
          <t>Interno PROA — uso do consultor</t>
        </is>
      </c>
      <c r="J46" s="2" t="inlineStr">
        <is>
          <t>Documento interno PROA; base da metrologia do projeto (definições de medição, IM-Bn). Vínculo com Onda 4 (IM-Bn).</t>
        </is>
      </c>
      <c r="K46" s="2" t="inlineStr">
        <is>
          <t>Validado</t>
        </is>
      </c>
    </row>
    <row r="47">
      <c r="A47" s="4" t="n">
        <v>46</v>
      </c>
      <c r="B47" s="2" t="inlineStr">
        <is>
          <t>Documento interno PROA</t>
        </is>
      </c>
      <c r="C47" s="2" t="inlineStr">
        <is>
          <t>PROA-VERIFICACAO-ANTI-PALAVRA-V2</t>
        </is>
      </c>
      <c r="D47" s="4" t="inlineStr">
        <is>
          <t>B01</t>
        </is>
      </c>
      <c r="E47" s="2" t="inlineStr">
        <is>
          <t>Verificação de linguagem — termos vedados (purificação linguística)</t>
        </is>
      </c>
      <c r="F47" s="2" t="inlineStr">
        <is>
          <t>v2.0 (2026)</t>
        </is>
      </c>
      <c r="G47" s="3" t="n">
        <v>46309</v>
      </c>
      <c r="H47" s="2" t="inlineStr">
        <is>
          <t>Consultor de Governança Preventiva (Paulo)</t>
        </is>
      </c>
      <c r="I47" s="2" t="inlineStr">
        <is>
          <t>Interno PROA — uso do consultor</t>
        </is>
      </c>
      <c r="J47" s="2" t="inlineStr">
        <is>
          <t>Documento interno PROA; lista de termos vedados e substituições (purificação). Aplicável à revisão de todo o material visível.</t>
        </is>
      </c>
      <c r="K47" s="2" t="inlineStr">
        <is>
          <t>Validado</t>
        </is>
      </c>
    </row>
    <row r="48">
      <c r="A48" s="4" t="n">
        <v>47</v>
      </c>
      <c r="B48" s="2" t="inlineStr">
        <is>
          <t>Documento interno PROA</t>
        </is>
      </c>
      <c r="C48" s="2" t="inlineStr">
        <is>
          <t>Kit de Campo Ampliado (18 blocos x 41 itens)</t>
        </is>
      </c>
      <c r="D48" s="4" t="inlineStr">
        <is>
          <t>B01</t>
        </is>
      </c>
      <c r="E48" s="2" t="inlineStr">
        <is>
          <t>Kit de campo — instrumentos de verificação em campo (18 blocos x 41 itens)</t>
        </is>
      </c>
      <c r="F48" s="2" t="inlineStr">
        <is>
          <t>v1.0 (2026)</t>
        </is>
      </c>
      <c r="G48" s="3" t="n">
        <v>46309</v>
      </c>
      <c r="H48" s="2" t="inlineStr">
        <is>
          <t>Consultor de Governança Preventiva (Paulo)</t>
        </is>
      </c>
      <c r="I48" s="2" t="inlineStr">
        <is>
          <t>Interno PROA — uso do consultor em campo</t>
        </is>
      </c>
      <c r="J48" s="2" t="inlineStr">
        <is>
          <t>Documento interno PROA; kit de campo ampliado. Uso em verificação de campo; serve ao piloto e à coleta de dados.</t>
        </is>
      </c>
      <c r="K48" s="2" t="inlineStr">
        <is>
          <t>Validado</t>
        </is>
      </c>
    </row>
    <row r="49">
      <c r="A49" s="4" t="n">
        <v>48</v>
      </c>
      <c r="B49" s="2" t="inlineStr">
        <is>
          <t>Documento interno PROA</t>
        </is>
      </c>
      <c r="C49" s="2" t="inlineStr">
        <is>
          <t>PROA-REF-ITENS-V2-CORR-001</t>
        </is>
      </c>
      <c r="D49" s="4" t="inlineStr">
        <is>
          <t>B01</t>
        </is>
      </c>
      <c r="E49" s="2" t="inlineStr">
        <is>
          <t>Correções da série de referência (purificação aplicada B01-B05)</t>
        </is>
      </c>
      <c r="F49" s="2" t="inlineStr">
        <is>
          <t>v1.0 (2026)</t>
        </is>
      </c>
      <c r="G49" s="3" t="n">
        <v>46309</v>
      </c>
      <c r="H49" s="2" t="inlineStr">
        <is>
          <t>Consultor de Governança Preventiva (Paulo)</t>
        </is>
      </c>
      <c r="I49" s="2" t="inlineStr">
        <is>
          <t>Interno PROA — uso do consultor</t>
        </is>
      </c>
      <c r="J49" s="2" t="inlineStr">
        <is>
          <t>Documento interno PROA; correções da série PROA-REF-ITENS-V2 (purificação). Referência para a base de itens.</t>
        </is>
      </c>
      <c r="K49" s="2" t="inlineStr">
        <is>
          <t>Validado</t>
        </is>
      </c>
    </row>
    <row r="52" ht="24" customHeight="1">
      <c r="A52" s="1" t="inlineStr">
        <is>
          <t>CONTROLE AUTOMÁTICO — fórmulas vivas (não editar)</t>
        </is>
      </c>
      <c r="B52" s="1" t="n"/>
      <c r="C52" s="1" t="n"/>
    </row>
    <row r="54">
      <c r="A54" s="5" t="inlineStr">
        <is>
          <t>Total de linhas</t>
        </is>
      </c>
      <c r="B54" s="4">
        <f>COUNTA(A2:A49)</f>
        <v/>
      </c>
    </row>
    <row r="55">
      <c r="A55" s="5" t="inlineStr">
        <is>
          <t>Normas preenchidas</t>
        </is>
      </c>
      <c r="B55" s="4">
        <f>COUNTA(C2:C49)</f>
        <v/>
      </c>
    </row>
    <row r="56">
      <c r="A56" s="5" t="inlineStr">
        <is>
          <t>Validado</t>
        </is>
      </c>
      <c r="B56" s="4">
        <f>COUNTIF(K2:K49,"Validado")</f>
        <v/>
      </c>
    </row>
    <row r="57">
      <c r="A57" s="5" t="inlineStr">
        <is>
          <t>OK — 48 linhas</t>
        </is>
      </c>
      <c r="B57" s="4">
        <f>IF(COUNTA(A2:A49)=48,"OK — 48 linhas","REVISAR")</f>
        <v/>
      </c>
    </row>
    <row r="58">
      <c r="A58" s="5" t="inlineStr">
        <is>
          <t>Lei Federal</t>
        </is>
      </c>
      <c r="B58" s="4">
        <f>COUNTIF(B2:B49,"Lei Federal")</f>
        <v/>
      </c>
    </row>
    <row r="59">
      <c r="A59" s="5" t="inlineStr">
        <is>
          <t>Norma ABNT</t>
        </is>
      </c>
      <c r="B59" s="4">
        <f>COUNTIF(B2:B49,"Norma ABNT")</f>
        <v/>
      </c>
    </row>
    <row r="60">
      <c r="A60" s="5" t="inlineStr">
        <is>
          <t>NR (MTE)</t>
        </is>
      </c>
      <c r="B60" s="4">
        <f>COUNTIF(B2:B49,"NR (MTE)")</f>
        <v/>
      </c>
    </row>
    <row r="61">
      <c r="A61" s="5" t="inlineStr">
        <is>
          <t>Portaria Ministerial</t>
        </is>
      </c>
      <c r="B61" s="4">
        <f>COUNTIF(B2:B49,"Portaria Ministerial")</f>
        <v/>
      </c>
    </row>
    <row r="62">
      <c r="A62" s="5" t="inlineStr">
        <is>
          <t>Resolução ANVISA</t>
        </is>
      </c>
      <c r="B62" s="4">
        <f>COUNTIF(B2:B49,"Resolução ANVISA")</f>
        <v/>
      </c>
    </row>
    <row r="63">
      <c r="A63" s="5" t="inlineStr">
        <is>
          <t>Jurisprudência</t>
        </is>
      </c>
      <c r="B63" s="4">
        <f>COUNTIF(B2:B49,"Jurisprudência")</f>
        <v/>
      </c>
    </row>
    <row r="64">
      <c r="A64" s="5" t="inlineStr">
        <is>
          <t>Regulamento técnico estadual</t>
        </is>
      </c>
      <c r="B64" s="4">
        <f>COUNTIF(B2:B49,"Regulamento técnico estadual")</f>
        <v/>
      </c>
    </row>
    <row r="65">
      <c r="A65" s="5" t="inlineStr">
        <is>
          <t>Resolução regulamentar</t>
        </is>
      </c>
      <c r="B65" s="4">
        <f>COUNTIF(B2:B49,"Resolução regulamentar")</f>
        <v/>
      </c>
    </row>
    <row r="66">
      <c r="A66" s="5" t="inlineStr">
        <is>
          <t>Documento interno PROA</t>
        </is>
      </c>
      <c r="B66" s="4">
        <f>COUNTIF(B2:B49,"Documento interno PROA")</f>
        <v/>
      </c>
    </row>
    <row r="67">
      <c r="A67" s="5" t="inlineStr">
        <is>
          <t>Total por tipo</t>
        </is>
      </c>
      <c r="B67" s="4">
        <f>SUM(B58:B66)</f>
        <v/>
      </c>
    </row>
  </sheetData>
  <mergeCells count="1">
    <mergeCell ref="A52:C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2240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6" customWidth="1" min="2" max="2"/>
    <col width="34" customWidth="1" min="3" max="3"/>
    <col width="50" customWidth="1" min="4" max="4"/>
  </cols>
  <sheetData>
    <row r="1" ht="30" customHeight="1">
      <c r="A1" s="1" t="inlineStr">
        <is>
          <t>norma</t>
        </is>
      </c>
      <c r="B1" s="1" t="inlineStr">
        <is>
          <t>ponto_de_atencao</t>
        </is>
      </c>
      <c r="C1" s="1" t="inlineStr">
        <is>
          <t>fonte</t>
        </is>
      </c>
      <c r="D1" s="1" t="inlineStr">
        <is>
          <t>status_verificacao</t>
        </is>
      </c>
    </row>
    <row r="2">
      <c r="A2" s="2" t="inlineStr">
        <is>
          <t>ABNT NBR 13434 (cancelada)</t>
        </is>
      </c>
      <c r="B2" s="2" t="inlineStr">
        <is>
          <t>Substituída pela NBR 16820 (sinalização de emergência)</t>
        </is>
      </c>
      <c r="C2" s="2" t="inlineStr">
        <is>
          <t>Memória do projeto (achado Biblioteca)</t>
        </is>
      </c>
      <c r="D2" s="2" t="inlineStr">
        <is>
          <t>CONFERIDO 13/10/2026 — substituída pela NBR 16820:2020</t>
        </is>
      </c>
    </row>
    <row r="3">
      <c r="A3" s="2" t="inlineStr">
        <is>
          <t>ABNT NBR 16820</t>
        </is>
      </c>
      <c r="B3" s="2" t="inlineStr">
        <is>
          <t>Sinalização de emergência — requisitos (situação da NBR 13434)</t>
        </is>
      </c>
      <c r="C3" s="2" t="inlineStr">
        <is>
          <t>Memória do projeto (achado Biblioteca)</t>
        </is>
      </c>
      <c r="D3" s="2" t="inlineStr">
        <is>
          <t>CONFERIDO 13/10/2026 — edição 2020 (verificar adoção na Biblioteca)</t>
        </is>
      </c>
    </row>
    <row r="4">
      <c r="A4" s="2" t="inlineStr">
        <is>
          <t>ABNT NBR 5419</t>
        </is>
      </c>
      <c r="B4" s="2" t="inlineStr">
        <is>
          <t>Proteção contra descargas atmosféricas — partes 2-3 atualizadas em 03/2026 (conferir edição)</t>
        </is>
      </c>
      <c r="C4" s="2" t="inlineStr">
        <is>
          <t>Memória do projeto (achado Biblioteca)</t>
        </is>
      </c>
      <c r="D4" s="2" t="inlineStr">
        <is>
          <t>CONFERIDO 13/10/2026 — Partes 2-4: 2ª edição 03/2026</t>
        </is>
      </c>
    </row>
    <row r="5">
      <c r="A5" s="2" t="inlineStr">
        <is>
          <t>ABNT NBR 5674</t>
        </is>
      </c>
      <c r="B5" s="2" t="inlineStr">
        <is>
          <t>Edição 2024 — manutenção de edificações (em vigor desde 01/2024)</t>
        </is>
      </c>
      <c r="C5" s="2" t="inlineStr">
        <is>
          <t>Memória do projeto (achado Biblioteca)</t>
        </is>
      </c>
      <c r="D5" s="2" t="inlineStr">
        <is>
          <t>CONFERIDO 13/10/2026 — edição 01/2024</t>
        </is>
      </c>
    </row>
    <row r="6">
      <c r="A6" s="2" t="inlineStr">
        <is>
          <t>ABNT NBR 14037</t>
        </is>
      </c>
      <c r="B6" s="2" t="inlineStr">
        <is>
          <t>Edição 01/2024 (manual de uso, operação e manutenção)</t>
        </is>
      </c>
      <c r="C6" s="2" t="inlineStr">
        <is>
          <t>Memória do projeto (achado Biblioteca)</t>
        </is>
      </c>
      <c r="D6" s="2" t="inlineStr">
        <is>
          <t>CONFERIDO 13/10/2026 — edição 01/2024</t>
        </is>
      </c>
    </row>
    <row r="7">
      <c r="A7" s="2" t="inlineStr">
        <is>
          <t>ABNT NBR 9077:2025</t>
        </is>
      </c>
      <c r="B7" s="2" t="inlineStr">
        <is>
          <t>Saídas de emergência em edificações</t>
        </is>
      </c>
      <c r="C7" s="2" t="inlineStr">
        <is>
          <t>Memória do projeto (achado Biblioteca)</t>
        </is>
      </c>
      <c r="D7" s="2" t="inlineStr">
        <is>
          <t>CONFERIDO 13/10/2026 — edição 2025</t>
        </is>
      </c>
    </row>
    <row r="8">
      <c r="A8" s="2" t="inlineStr">
        <is>
          <t>NR-24</t>
        </is>
      </c>
      <c r="B8" s="2" t="inlineStr">
        <is>
          <t>Condições sanitárias e de conforto nos locais de trabalho — atualização 09/2026 (conferir)</t>
        </is>
      </c>
      <c r="C8" s="2" t="inlineStr">
        <is>
          <t>Memória do projeto (achado Biblioteca)</t>
        </is>
      </c>
      <c r="D8" s="2" t="inlineStr">
        <is>
          <t>CONFERIDO 13/10/2026 — consolidada 2022 (Portaria MTP 2.772/2022); conferir atualizações</t>
        </is>
      </c>
    </row>
    <row r="9">
      <c r="A9" s="2" t="inlineStr">
        <is>
          <t>NR-35</t>
        </is>
      </c>
      <c r="B9" s="2" t="inlineStr">
        <is>
          <t>Trabalho em altura — atualização 06/2026 (conferir)</t>
        </is>
      </c>
      <c r="C9" s="2" t="inlineStr">
        <is>
          <t>Memória do projeto (achado Biblioteca)</t>
        </is>
      </c>
      <c r="D9" s="2" t="inlineStr">
        <is>
          <t>CONFERIDO 13/10/2026 — Portarias 1.680/2025 e 1.259/2026</t>
        </is>
      </c>
    </row>
    <row r="10">
      <c r="A10" s="2" t="inlineStr">
        <is>
          <t>ISO/CIE 8995-1:2025</t>
        </is>
      </c>
      <c r="B10" s="2" t="inlineStr">
        <is>
          <t>Iluminação de ambientes de trabalho</t>
        </is>
      </c>
      <c r="C10" s="2" t="inlineStr">
        <is>
          <t>Memória do projeto (achado Biblioteca)</t>
        </is>
      </c>
      <c r="D10" s="2" t="inlineStr">
        <is>
          <t>CONFERIDO 13/10/2026 — 1ª edição 2025-01</t>
        </is>
      </c>
    </row>
    <row r="11">
      <c r="A11" s="2" t="inlineStr">
        <is>
          <t>ABNT NBR 15575</t>
        </is>
      </c>
      <c r="B11" s="2" t="inlineStr">
        <is>
          <t>Desempenho de edificações — mencionada no PILOTO-001 (garantia 1 ano)</t>
        </is>
      </c>
      <c r="C11" s="2" t="inlineStr">
        <is>
          <t>Memória do projeto (PILOTO-001)</t>
        </is>
      </c>
      <c r="D11" s="2" t="inlineStr">
        <is>
          <t>A CONFERIR (mencionada no PILOTO-001)</t>
        </is>
      </c>
    </row>
    <row r="12">
      <c r="A12" s="6" t="inlineStr">
        <is>
          <t>lista NÃO exaustiva e NÃO confirmada como oficial da Biblioteca; todas as normas devem ser conferidas contra o PROA-BIBLIOTECA-NORMATIVA-V2.xlsx antes de qualquer carga.</t>
        </is>
      </c>
      <c r="B12" s="6" t="n"/>
      <c r="C12" s="6" t="n"/>
      <c r="D12" s="6" t="n"/>
    </row>
  </sheetData>
  <mergeCells count="1">
    <mergeCell ref="A12:D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D2240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74" customWidth="1" min="3" max="3"/>
  </cols>
  <sheetData>
    <row r="1" ht="30" customHeight="1">
      <c r="A1" s="1" t="inlineStr">
        <is>
          <t>bloco</t>
        </is>
      </c>
      <c r="B1" s="1" t="inlineStr">
        <is>
          <t>nome</t>
        </is>
      </c>
      <c r="C1" s="1" t="inlineStr">
        <is>
          <t>foco_priorizacao</t>
        </is>
      </c>
    </row>
    <row r="2">
      <c r="A2" s="4" t="inlineStr">
        <is>
          <t>B18</t>
        </is>
      </c>
      <c r="B2" s="2" t="inlineStr">
        <is>
          <t>Emergências/Contingência</t>
        </is>
      </c>
      <c r="C2" s="2" t="inlineStr">
        <is>
          <t>Evacuação, sinalização de emergência, planos de contingência</t>
        </is>
      </c>
    </row>
    <row r="3">
      <c r="A3" s="4" t="inlineStr">
        <is>
          <t>B16</t>
        </is>
      </c>
      <c r="B3" s="2" t="inlineStr">
        <is>
          <t>Licenciamento/Posturas</t>
        </is>
      </c>
      <c r="C3" s="2" t="inlineStr">
        <is>
          <t>Alvarás, licenças, legislação municipal de posturas</t>
        </is>
      </c>
    </row>
    <row r="4">
      <c r="A4" s="4" t="inlineStr">
        <is>
          <t>B05</t>
        </is>
      </c>
      <c r="B4" s="2" t="inlineStr">
        <is>
          <t>Técnico/Manutenção</t>
        </is>
      </c>
      <c r="C4" s="2" t="inlineStr">
        <is>
          <t>Manutenção predial (NBR 5674), conservação de áreas comuns</t>
        </is>
      </c>
    </row>
    <row r="5">
      <c r="A5" s="4" t="inlineStr">
        <is>
          <t>B08</t>
        </is>
      </c>
      <c r="B5" s="2" t="inlineStr">
        <is>
          <t>Segurança Patrimonial</t>
        </is>
      </c>
      <c r="C5" s="2" t="inlineStr">
        <is>
          <t>Controle de acesso, segurança, subsistemas (NBR 5419)</t>
        </is>
      </c>
    </row>
    <row r="6">
      <c r="A6" s="4" t="inlineStr">
        <is>
          <t>B01</t>
        </is>
      </c>
      <c r="B6" s="2" t="inlineStr">
        <is>
          <t>Governança</t>
        </is>
      </c>
      <c r="C6" s="2" t="inlineStr">
        <is>
          <t>Assembleias, atas, prestação de contas, transparência</t>
        </is>
      </c>
    </row>
    <row r="7">
      <c r="A7" s="6" t="inlineStr">
        <is>
          <t>1ª onda = 205 itens da Matriz de Fundamentação; 2ª-4ª ondas preenchem os demais blocos.</t>
        </is>
      </c>
      <c r="B7" s="6" t="n"/>
      <c r="C7" s="6" t="n"/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2026-10-14T03:50:30Z</dcterms:created>
  <dcterms:modified xsi:type="dcterms:W3CDTF">2026-10-14T03:50:30Z</dcterms:modified>
</cp:coreProperties>
</file>